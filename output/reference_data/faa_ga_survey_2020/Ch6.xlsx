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AA-2020 GA Survey\Report\Draft Section 508\"/>
    </mc:Choice>
  </mc:AlternateContent>
  <xr:revisionPtr revIDLastSave="0" documentId="13_ncr:1_{ABD786CF-2AC1-4D0F-960B-CCDCD5C8C309}" xr6:coauthVersionLast="46" xr6:coauthVersionMax="46" xr10:uidLastSave="{00000000-0000-0000-0000-000000000000}"/>
  <bookViews>
    <workbookView xWindow="-110" yWindow="-110" windowWidth="19420" windowHeight="10560" xr2:uid="{163395F5-302E-486E-B369-85C79EA03815}"/>
  </bookViews>
  <sheets>
    <sheet name="Chart14" sheetId="2" r:id="rId1"/>
    <sheet name="6.1" sheetId="1" r:id="rId2"/>
  </sheets>
  <externalReferences>
    <externalReference r:id="rId3"/>
    <externalReference r:id="rId4"/>
  </externalReferences>
  <definedNames>
    <definedName name="Chart14">[1]Instructions!$H$9</definedName>
    <definedName name="new_sheet_name">[2]Instructions!$H$9</definedName>
    <definedName name="_xlnm.Print_Titles" localSheetId="1">'6.1'!#REF!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<sst xmlns="http://schemas.openxmlformats.org/spreadsheetml/2006/main" count="96" uniqueCount="46">
  <si>
    <t>AIRCRAFT TYPE</t>
  </si>
  <si>
    <t>Fixed Wing</t>
  </si>
  <si>
    <t>Fixed Wing - Piston</t>
  </si>
  <si>
    <t>1 Eng: 1-3 Seats</t>
  </si>
  <si>
    <t>1 Eng: 4+ Seats</t>
  </si>
  <si>
    <t>1 Engine: Total</t>
  </si>
  <si>
    <t>2 Eng: 1-6 Seats</t>
  </si>
  <si>
    <t>2 Eng: 7+ Seats</t>
  </si>
  <si>
    <t>2 Engine: Total</t>
  </si>
  <si>
    <t>Piston: Total</t>
  </si>
  <si>
    <t>Fixed Wing - Turboprop</t>
  </si>
  <si>
    <t>2 Eng: 1-12 Seats</t>
  </si>
  <si>
    <t>2 Eng: 13+ Seats</t>
  </si>
  <si>
    <t>Turboprop: Total</t>
  </si>
  <si>
    <t>Fixed Wing - Turbojet</t>
  </si>
  <si>
    <t>Turbojet: Total</t>
  </si>
  <si>
    <t>Fixed Wing: Total</t>
  </si>
  <si>
    <t>Rotorcraft</t>
  </si>
  <si>
    <t>Piston</t>
  </si>
  <si>
    <t>1 Eng: Turbine</t>
  </si>
  <si>
    <t>Multi-Eng: Turbine</t>
  </si>
  <si>
    <t>Turbine: Total</t>
  </si>
  <si>
    <t>Rotorcraft: Total</t>
  </si>
  <si>
    <t>Other Aircraft</t>
  </si>
  <si>
    <t>Gliders</t>
  </si>
  <si>
    <t>Lighter-than-air</t>
  </si>
  <si>
    <t>Other Aircraft: Total</t>
  </si>
  <si>
    <t>Experimental</t>
  </si>
  <si>
    <t>Amateur</t>
  </si>
  <si>
    <t>Exhibition</t>
  </si>
  <si>
    <t>Exper Light-sport</t>
  </si>
  <si>
    <t>Other Experimental</t>
  </si>
  <si>
    <t>Experimental: Total</t>
  </si>
  <si>
    <t>Special Light-sport</t>
  </si>
  <si>
    <t>Total All Aircraft</t>
  </si>
  <si>
    <t>Table Notes:</t>
  </si>
  <si>
    <t>Columns may not add to totals due to rounding.</t>
  </si>
  <si>
    <t xml:space="preserve">Experimental light-sport includes aircraft with experimental airworthiness certification and light-sport aircraft for which airworthiness certificates are not final. </t>
  </si>
  <si>
    <t>Aircraft Population Size</t>
  </si>
  <si>
    <t>Estimate of Number Active</t>
  </si>
  <si>
    <t>Percent Standard Error</t>
  </si>
  <si>
    <t>Estimate of Percent Active</t>
  </si>
  <si>
    <t>Estimate of Total Airframe</t>
  </si>
  <si>
    <t>Estimate of Average Airframe</t>
  </si>
  <si>
    <t>End of worksheet</t>
  </si>
  <si>
    <t>Table 6.1 - 2020 GENERAL AVIATION AND PART 135  TOTAL AND AVERAGE AIRFRAME HOURS FOR ACTIVE AIRCRAFT BY AIRCRAFT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</si>
</sst>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 applyFont="1" applyFill="1"/>
    <xf numFmtId="3" fontId="1" fillId="0" borderId="0" xfId="1" applyNumberFormat="1" applyFont="1"/>
    <xf numFmtId="164" fontId="1" fillId="0" borderId="0" xfId="1" applyNumberFormat="1" applyFont="1"/>
    <xf numFmtId="165" fontId="1" fillId="0" borderId="0" xfId="1" applyNumberFormat="1" applyFont="1"/>
    <xf numFmtId="0" fontId="1" fillId="0" borderId="0" xfId="1" applyFont="1" applyFill="1" applyAlignment="1">
      <alignment horizontal="left" indent="1"/>
    </xf>
    <xf numFmtId="0" fontId="3" fillId="0" borderId="0" xfId="1" applyFont="1" applyFill="1"/>
    <xf numFmtId="0" fontId="2" fillId="0" borderId="0" xfId="0" applyFont="1" applyFill="1" applyBorder="1" applyAlignment="1"/>
    <xf numFmtId="0" fontId="1" fillId="0" borderId="1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left"/>
    </xf>
    <xf numFmtId="0" fontId="3" fillId="0" borderId="0" xfId="1" applyFont="1"/>
    <xf numFmtId="0" fontId="4" fillId="0" borderId="0" xfId="0" applyFont="1" applyFill="1" applyAlignment="1">
      <alignment horizontal="left" vertical="top" wrapText="1"/>
    </xf>
    <xf numFmtId="0" fontId="4" fillId="0" borderId="0" xfId="0" applyFont="1" applyFill="1" applyAlignment="1"/>
    <xf numFmtId="0" fontId="4" fillId="0" borderId="0" xfId="0" applyFont="1" applyFill="1"/>
    <xf numFmtId="0" fontId="4" fillId="0" borderId="1" xfId="0" applyFont="1" applyFill="1" applyBorder="1" applyAlignment="1">
      <alignment horizontal="center" vertical="center" wrapText="1"/>
    </xf>
    <xf numFmtId="0" fontId="1" fillId="0" borderId="0" xfId="1" applyFont="1" applyFill="1" applyAlignment="1">
      <alignment horizontal="left" indent="2"/>
    </xf>
    <xf numFmtId="0" fontId="1" fillId="0" borderId="1" xfId="1" applyFont="1" applyFill="1" applyBorder="1" applyAlignment="1">
      <alignment horizontal="left" indent="1"/>
    </xf>
    <xf numFmtId="0" fontId="1" fillId="0" borderId="1" xfId="1" applyFont="1" applyFill="1" applyBorder="1"/>
    <xf numFmtId="0" fontId="1" fillId="0" borderId="0" xfId="1" applyFont="1" applyFill="1" applyBorder="1"/>
    <xf numFmtId="3" fontId="1" fillId="0" borderId="0" xfId="1" applyNumberFormat="1" applyFont="1" applyFill="1"/>
    <xf numFmtId="165" fontId="1" fillId="0" borderId="0" xfId="1" applyNumberFormat="1" applyFont="1" applyFill="1"/>
    <xf numFmtId="3" fontId="1" fillId="0" borderId="0" xfId="1" applyNumberFormat="1"/>
    <xf numFmtId="164" fontId="1" fillId="0" borderId="0" xfId="1" applyNumberFormat="1"/>
    <xf numFmtId="165" fontId="1" fillId="0" borderId="0" xfId="1" applyNumberFormat="1"/>
  </cellXfs>
  <cellStyles count="2">
    <cellStyle name="Normal" xfId="0" builtinId="0"/>
    <cellStyle name="Normal 2" xfId="1" xr:uid="{81C627F9-D3F2-4DBB-8DC3-6DF04D3763C1}"/>
  </cellStyles>
  <dxfs count="6"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0"/>
              <a:t>Chart 14
2020 Average Airframe Hours for Active Aircraft by Aircraft Type</a:t>
            </a:r>
          </a:p>
        </c:rich>
      </c:tx>
      <c:layout>
        <c:manualLayout>
          <c:xMode val="edge"/>
          <c:yMode val="edge"/>
          <c:x val="0.22550052687038988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620302072356868"/>
          <c:y val="9.1970802919708022E-2"/>
          <c:w val="0.67474534597822267"/>
          <c:h val="0.813625304136253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EC-4795-9330-93E525E7F71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EC-4795-9330-93E525E7F71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EC-4795-9330-93E525E7F71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EC-4795-9330-93E525E7F71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EC-4795-9330-93E525E7F71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EC-4795-9330-93E525E7F71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5EC-4795-9330-93E525E7F71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5EC-4795-9330-93E525E7F71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5EC-4795-9330-93E525E7F71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5EC-4795-9330-93E525E7F71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5EC-4795-9330-93E525E7F71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25"/>
              <c:pt idx="0">
                <c:v>SPECIAL LIGHT-SPORT</c:v>
              </c:pt>
              <c:pt idx="2">
                <c:v>Other experimental</c:v>
              </c:pt>
              <c:pt idx="3">
                <c:v>Experimental Light-sport</c:v>
              </c:pt>
              <c:pt idx="4">
                <c:v>Exhibition</c:v>
              </c:pt>
              <c:pt idx="5">
                <c:v>Amateur</c:v>
              </c:pt>
              <c:pt idx="6">
                <c:v>EXPERIMENTAL</c:v>
              </c:pt>
              <c:pt idx="8">
                <c:v>Lighter-than-air</c:v>
              </c:pt>
              <c:pt idx="9">
                <c:v>Glider</c:v>
              </c:pt>
              <c:pt idx="10">
                <c:v>OTHER AIRCRAFT</c:v>
              </c:pt>
              <c:pt idx="12">
                <c:v>Turbine</c:v>
              </c:pt>
              <c:pt idx="13">
                <c:v>Piston</c:v>
              </c:pt>
              <c:pt idx="14">
                <c:v>ROTORCRAFT</c:v>
              </c:pt>
              <c:pt idx="16">
                <c:v>FIXED WING TURBOJET</c:v>
              </c:pt>
              <c:pt idx="18">
                <c:v>2 Engine</c:v>
              </c:pt>
              <c:pt idx="19">
                <c:v>1 Engine</c:v>
              </c:pt>
              <c:pt idx="20">
                <c:v>FIXED WING TURBOPROP</c:v>
              </c:pt>
              <c:pt idx="22">
                <c:v>2 Engine</c:v>
              </c:pt>
              <c:pt idx="23">
                <c:v>1 Engine</c:v>
              </c:pt>
              <c:pt idx="24">
                <c:v>FIXED WING PISTON</c:v>
              </c:pt>
            </c:strLit>
          </c:cat>
          <c:val>
            <c:numLit>
              <c:formatCode>General</c:formatCode>
              <c:ptCount val="25"/>
              <c:pt idx="0">
                <c:v>560.20000000000005</c:v>
              </c:pt>
              <c:pt idx="1">
                <c:v>#N/A</c:v>
              </c:pt>
              <c:pt idx="2">
                <c:v>2047.8</c:v>
              </c:pt>
              <c:pt idx="3">
                <c:v>262</c:v>
              </c:pt>
              <c:pt idx="4">
                <c:v>1550.5</c:v>
              </c:pt>
              <c:pt idx="5">
                <c:v>412.7</c:v>
              </c:pt>
              <c:pt idx="6">
                <c:v>#N/A</c:v>
              </c:pt>
              <c:pt idx="7">
                <c:v>#N/A</c:v>
              </c:pt>
              <c:pt idx="8">
                <c:v>146.9</c:v>
              </c:pt>
              <c:pt idx="9">
                <c:v>979.8</c:v>
              </c:pt>
              <c:pt idx="10">
                <c:v>#N/A</c:v>
              </c:pt>
              <c:pt idx="11">
                <c:v>#N/A</c:v>
              </c:pt>
              <c:pt idx="12">
                <c:v>5206.5</c:v>
              </c:pt>
              <c:pt idx="13">
                <c:v>2156.4</c:v>
              </c:pt>
              <c:pt idx="14">
                <c:v>#N/A</c:v>
              </c:pt>
              <c:pt idx="15">
                <c:v>#N/A</c:v>
              </c:pt>
              <c:pt idx="16">
                <c:v>3533.3</c:v>
              </c:pt>
              <c:pt idx="17">
                <c:v>#N/A</c:v>
              </c:pt>
              <c:pt idx="18">
                <c:v>7243.9</c:v>
              </c:pt>
              <c:pt idx="19">
                <c:v>3583</c:v>
              </c:pt>
              <c:pt idx="20">
                <c:v>#N/A</c:v>
              </c:pt>
              <c:pt idx="21">
                <c:v>#N/A</c:v>
              </c:pt>
              <c:pt idx="22">
                <c:v>4116.5</c:v>
              </c:pt>
              <c:pt idx="23">
                <c:v>3004.2</c:v>
              </c:pt>
              <c:pt idx="24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B-25EC-4795-9330-93E525E7F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2963984"/>
        <c:axId val="273994192"/>
      </c:barChart>
      <c:catAx>
        <c:axId val="232963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Aircraft Type</a:t>
                </a:r>
              </a:p>
            </c:rich>
          </c:tx>
          <c:layout>
            <c:manualLayout>
              <c:xMode val="edge"/>
              <c:yMode val="edge"/>
              <c:x val="2.2128556375131718E-2"/>
              <c:y val="0.417518248175182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39941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7399419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Average Airframe Hours</a:t>
                </a:r>
              </a:p>
            </c:rich>
          </c:tx>
          <c:layout>
            <c:manualLayout>
              <c:xMode val="edge"/>
              <c:yMode val="edge"/>
              <c:x val="0.44362486828240255"/>
              <c:y val="0.9576642335766423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296398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7E6CB62-A3FF-4042-B921-760FED145017}">
  <sheetPr/>
  <sheetViews>
    <sheetView tabSelected="1" zoomScale="66" workbookViewId="0" zoomToFit="1"/>
  </sheetViews>
  <sheetProtection algorithmName="SHA-512" hashValue="FpjsgvH7iO6ys37QpJewDkkLhZ9L+Wdsa0s09HMrAchrYzfmn0fHrYI7Q5zzBLrPeU5Si6lYXfTXq9cMeJhJzw==" saltValue="Ufs9OhybfofMP7yDMb5Ddg==" spinCount="100000" content="1" objects="1"/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892" cy="6281351"/>
    <xdr:graphicFrame macro="">
      <xdr:nvGraphicFramePr>
        <xdr:cNvPr id="2" name="Chart 1" descr="Chart 14 - 2020 Average Airframe Hours For Active Aircraft by Aircraft Type&#10;&#10;This bar chart shows the Average Airframe Hours For Active Aircraft by Aircraft Type for 2020.&#10;">
          <a:extLst>
            <a:ext uri="{FF2B5EF4-FFF2-40B4-BE49-F238E27FC236}">
              <a16:creationId xmlns:a16="http://schemas.microsoft.com/office/drawing/2014/main" id="{FE7AAAA3-56C7-437A-93C2-4AE06D74C19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0.71531</cdr:x>
      <cdr:y>0.9605</cdr:y>
    </cdr:from>
    <cdr:to>
      <cdr:x>0.95153</cdr:x>
      <cdr:y>0.98916</cdr:y>
    </cdr:to>
    <cdr:sp macro="" textlink="">
      <cdr:nvSpPr>
        <cdr:cNvPr id="337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1251" y="6036194"/>
          <a:ext cx="2044552" cy="1801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0" rIns="0" bIns="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00" b="0" i="0" u="none" strike="noStrike" baseline="0">
              <a:solidFill>
                <a:schemeClr val="bg1">
                  <a:lumMod val="65000"/>
                </a:schemeClr>
              </a:solidFill>
              <a:latin typeface="Arial"/>
              <a:cs typeface="Arial"/>
            </a:rPr>
            <a:t>Source: 2020 GA Survey, Table 6.1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AA-2018%20GA%20Survey/Report/Draft%20Tables%20-%20Chapters%201-7%20V2/Separate%20Tables/FAA%20Table%206.1_2018_09OCT201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s332fs1.tt.local\files\FAA-2018%20GA%20Survey\Report\Draft%20Tables%20-%20Chapters%201-7%20V2\Separate%20Tables\FAA%20Table%206.1_2018_09OCT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 2017"/>
      <sheetName val="6.1 2018"/>
      <sheetName val="Instructions"/>
      <sheetName val="SAS data input"/>
      <sheetName val="Cond Format settings"/>
      <sheetName val="Formatting template"/>
      <sheetName val="Comparing to last yr"/>
    </sheetNames>
    <sheetDataSet>
      <sheetData sheetId="0"/>
      <sheetData sheetId="1"/>
      <sheetData sheetId="2">
        <row r="9">
          <cell r="H9" t="str">
            <v>6.1 2018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 2017"/>
      <sheetName val="6.1 2018"/>
      <sheetName val="Instructions"/>
      <sheetName val="SAS data input"/>
      <sheetName val="Cond Format settings"/>
      <sheetName val="Formatting template"/>
      <sheetName val="Comparing to last yr"/>
    </sheetNames>
    <sheetDataSet>
      <sheetData sheetId="0"/>
      <sheetData sheetId="1"/>
      <sheetData sheetId="2">
        <row r="9">
          <cell r="H9" t="str">
            <v>6.1 2018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759E-714C-4CF3-8700-8F3DC31EA98B}">
  <dimension ref="A1:J86"/>
  <sheetViews>
    <sheetView zoomScaleNormal="100" workbookViewId="0"/>
  </sheetViews>
  <sheetFormatPr defaultColWidth="9.1796875" defaultRowHeight="12.5" x14ac:dyDescent="0.25"/>
  <cols>
    <col min="1" max="1" width="22.7265625" style="1" customWidth="1"/>
    <col min="2" max="10" width="17.54296875" style="1" customWidth="1"/>
    <col min="11" max="16384" width="9.1796875" style="1"/>
  </cols>
  <sheetData>
    <row r="1" spans="1:10" s="13" customFormat="1" ht="116.5" customHeight="1" x14ac:dyDescent="0.3">
      <c r="A1" s="11" t="s">
        <v>45</v>
      </c>
      <c r="B1" s="7"/>
      <c r="C1" s="12"/>
      <c r="D1" s="12"/>
      <c r="E1" s="12"/>
      <c r="F1" s="12"/>
      <c r="G1" s="12"/>
      <c r="H1" s="12"/>
      <c r="I1" s="12"/>
      <c r="J1" s="12"/>
    </row>
    <row r="2" spans="1:10" s="13" customFormat="1" ht="28" x14ac:dyDescent="0.3">
      <c r="A2" s="8" t="s">
        <v>0</v>
      </c>
      <c r="B2" s="14" t="s">
        <v>38</v>
      </c>
      <c r="C2" s="14" t="s">
        <v>39</v>
      </c>
      <c r="D2" s="14" t="s">
        <v>40</v>
      </c>
      <c r="E2" s="14" t="s">
        <v>41</v>
      </c>
      <c r="F2" s="14" t="s">
        <v>40</v>
      </c>
      <c r="G2" s="14" t="s">
        <v>42</v>
      </c>
      <c r="H2" s="14" t="s">
        <v>40</v>
      </c>
      <c r="I2" s="14" t="s">
        <v>43</v>
      </c>
      <c r="J2" s="14" t="s">
        <v>40</v>
      </c>
    </row>
    <row r="3" spans="1:10" x14ac:dyDescent="0.25">
      <c r="A3" s="1" t="s">
        <v>1</v>
      </c>
    </row>
    <row r="4" spans="1:10" x14ac:dyDescent="0.25">
      <c r="A4" s="5" t="s">
        <v>2</v>
      </c>
      <c r="B4" s="2"/>
      <c r="C4" s="2"/>
      <c r="D4" s="3"/>
      <c r="E4" s="3"/>
      <c r="F4" s="3"/>
      <c r="G4" s="2"/>
      <c r="H4" s="3"/>
      <c r="I4" s="4"/>
      <c r="J4" s="3"/>
    </row>
    <row r="5" spans="1:10" x14ac:dyDescent="0.25">
      <c r="A5" s="15" t="s">
        <v>3</v>
      </c>
      <c r="B5" s="21">
        <v>50201</v>
      </c>
      <c r="C5" s="21">
        <v>31166</v>
      </c>
      <c r="D5" s="22">
        <v>3.2</v>
      </c>
      <c r="E5" s="22">
        <v>62.1</v>
      </c>
      <c r="F5" s="22">
        <v>3.2</v>
      </c>
      <c r="G5" s="21">
        <v>115435297</v>
      </c>
      <c r="H5" s="22">
        <v>2</v>
      </c>
      <c r="I5" s="23">
        <v>2299.5</v>
      </c>
      <c r="J5" s="22">
        <v>2</v>
      </c>
    </row>
    <row r="6" spans="1:10" x14ac:dyDescent="0.25">
      <c r="A6" s="15" t="s">
        <v>4</v>
      </c>
      <c r="B6" s="21">
        <v>112053</v>
      </c>
      <c r="C6" s="21">
        <v>92892</v>
      </c>
      <c r="D6" s="22">
        <v>1.8</v>
      </c>
      <c r="E6" s="22">
        <v>82.9</v>
      </c>
      <c r="F6" s="22">
        <v>1.8</v>
      </c>
      <c r="G6" s="21">
        <v>372003893</v>
      </c>
      <c r="H6" s="22">
        <v>0.9</v>
      </c>
      <c r="I6" s="23">
        <v>3319.9</v>
      </c>
      <c r="J6" s="22">
        <v>0.9</v>
      </c>
    </row>
    <row r="7" spans="1:10" x14ac:dyDescent="0.25">
      <c r="A7" s="15" t="s">
        <v>5</v>
      </c>
      <c r="B7" s="21">
        <v>162253</v>
      </c>
      <c r="C7" s="21">
        <v>124059</v>
      </c>
      <c r="D7" s="22">
        <v>2.2000000000000002</v>
      </c>
      <c r="E7" s="22">
        <v>76.5</v>
      </c>
      <c r="F7" s="22">
        <v>2.2000000000000002</v>
      </c>
      <c r="G7" s="21">
        <v>487439190</v>
      </c>
      <c r="H7" s="22">
        <v>0.8</v>
      </c>
      <c r="I7" s="23">
        <v>3004.2</v>
      </c>
      <c r="J7" s="22">
        <v>0.8</v>
      </c>
    </row>
    <row r="8" spans="1:10" x14ac:dyDescent="0.25">
      <c r="A8" s="15" t="s">
        <v>6</v>
      </c>
      <c r="B8" s="21">
        <v>11581</v>
      </c>
      <c r="C8" s="21">
        <v>8851</v>
      </c>
      <c r="D8" s="22">
        <v>1.1000000000000001</v>
      </c>
      <c r="E8" s="22">
        <v>76.400000000000006</v>
      </c>
      <c r="F8" s="22">
        <v>1.1000000000000001</v>
      </c>
      <c r="G8" s="21">
        <v>43529331</v>
      </c>
      <c r="H8" s="22">
        <v>1.2</v>
      </c>
      <c r="I8" s="23">
        <v>3758.7</v>
      </c>
      <c r="J8" s="22">
        <v>1.2</v>
      </c>
    </row>
    <row r="9" spans="1:10" x14ac:dyDescent="0.25">
      <c r="A9" s="15" t="s">
        <v>7</v>
      </c>
      <c r="B9" s="21">
        <v>3846</v>
      </c>
      <c r="C9" s="21">
        <v>3096</v>
      </c>
      <c r="D9" s="22">
        <v>0.9</v>
      </c>
      <c r="E9" s="22">
        <v>80.5</v>
      </c>
      <c r="F9" s="22">
        <v>0.9</v>
      </c>
      <c r="G9" s="21">
        <v>19980645</v>
      </c>
      <c r="H9" s="22">
        <v>1.9</v>
      </c>
      <c r="I9" s="23">
        <v>5195.2</v>
      </c>
      <c r="J9" s="22">
        <v>1.9</v>
      </c>
    </row>
    <row r="10" spans="1:10" x14ac:dyDescent="0.25">
      <c r="A10" s="15" t="s">
        <v>8</v>
      </c>
      <c r="B10" s="21">
        <v>15428</v>
      </c>
      <c r="C10" s="21">
        <v>11947</v>
      </c>
      <c r="D10" s="22">
        <v>1</v>
      </c>
      <c r="E10" s="22">
        <v>77.400000000000006</v>
      </c>
      <c r="F10" s="22">
        <v>1</v>
      </c>
      <c r="G10" s="21">
        <v>63509976</v>
      </c>
      <c r="H10" s="22">
        <v>1.1000000000000001</v>
      </c>
      <c r="I10" s="23">
        <v>4116.5</v>
      </c>
      <c r="J10" s="22">
        <v>1.1000000000000001</v>
      </c>
    </row>
    <row r="11" spans="1:10" x14ac:dyDescent="0.25">
      <c r="A11" s="5" t="s">
        <v>9</v>
      </c>
      <c r="B11" s="21">
        <v>177681</v>
      </c>
      <c r="C11" s="21">
        <v>136006</v>
      </c>
      <c r="D11" s="22">
        <v>2</v>
      </c>
      <c r="E11" s="22">
        <v>76.5</v>
      </c>
      <c r="F11" s="22">
        <v>2</v>
      </c>
      <c r="G11" s="21">
        <v>550949166</v>
      </c>
      <c r="H11" s="22">
        <v>0.7</v>
      </c>
      <c r="I11" s="23">
        <v>3100.8</v>
      </c>
      <c r="J11" s="22">
        <v>0.7</v>
      </c>
    </row>
    <row r="12" spans="1:10" ht="28" x14ac:dyDescent="0.25">
      <c r="A12" s="16" t="s">
        <v>10</v>
      </c>
      <c r="B12" s="14" t="s">
        <v>38</v>
      </c>
      <c r="C12" s="14" t="s">
        <v>39</v>
      </c>
      <c r="D12" s="14" t="s">
        <v>40</v>
      </c>
      <c r="E12" s="14" t="s">
        <v>41</v>
      </c>
      <c r="F12" s="14" t="s">
        <v>40</v>
      </c>
      <c r="G12" s="14" t="s">
        <v>42</v>
      </c>
      <c r="H12" s="14" t="s">
        <v>40</v>
      </c>
      <c r="I12" s="14" t="s">
        <v>43</v>
      </c>
      <c r="J12" s="14" t="s">
        <v>40</v>
      </c>
    </row>
    <row r="13" spans="1:10" x14ac:dyDescent="0.25">
      <c r="A13" s="15" t="s">
        <v>5</v>
      </c>
      <c r="B13" s="21">
        <v>5650</v>
      </c>
      <c r="C13" s="21">
        <v>5292</v>
      </c>
      <c r="D13" s="22">
        <v>0.3</v>
      </c>
      <c r="E13" s="22">
        <v>93.7</v>
      </c>
      <c r="F13" s="22">
        <v>0.3</v>
      </c>
      <c r="G13" s="21">
        <v>20244178</v>
      </c>
      <c r="H13" s="22">
        <v>1.8</v>
      </c>
      <c r="I13" s="23">
        <v>3583</v>
      </c>
      <c r="J13" s="22">
        <v>1.8</v>
      </c>
    </row>
    <row r="14" spans="1:10" x14ac:dyDescent="0.25">
      <c r="A14" s="15" t="s">
        <v>11</v>
      </c>
      <c r="B14" s="21">
        <v>3676</v>
      </c>
      <c r="C14" s="21">
        <v>3447</v>
      </c>
      <c r="D14" s="22">
        <v>0.4</v>
      </c>
      <c r="E14" s="22">
        <v>93.8</v>
      </c>
      <c r="F14" s="22">
        <v>0.4</v>
      </c>
      <c r="G14" s="21">
        <v>24574016</v>
      </c>
      <c r="H14" s="22">
        <v>1.5</v>
      </c>
      <c r="I14" s="23">
        <v>6685</v>
      </c>
      <c r="J14" s="22">
        <v>1.5</v>
      </c>
    </row>
    <row r="15" spans="1:10" x14ac:dyDescent="0.25">
      <c r="A15" s="15" t="s">
        <v>12</v>
      </c>
      <c r="B15" s="21">
        <v>1657</v>
      </c>
      <c r="C15" s="21">
        <v>1578</v>
      </c>
      <c r="D15" s="22">
        <v>0.3</v>
      </c>
      <c r="E15" s="22">
        <v>95.2</v>
      </c>
      <c r="F15" s="22">
        <v>0.3</v>
      </c>
      <c r="G15" s="21">
        <v>14064819</v>
      </c>
      <c r="H15" s="22">
        <v>2.1</v>
      </c>
      <c r="I15" s="23">
        <v>8488.1</v>
      </c>
      <c r="J15" s="22">
        <v>2.1</v>
      </c>
    </row>
    <row r="16" spans="1:10" x14ac:dyDescent="0.25">
      <c r="A16" s="15" t="s">
        <v>8</v>
      </c>
      <c r="B16" s="21">
        <v>5334</v>
      </c>
      <c r="C16" s="21">
        <v>5024</v>
      </c>
      <c r="D16" s="22">
        <v>0.4</v>
      </c>
      <c r="E16" s="22">
        <v>94.2</v>
      </c>
      <c r="F16" s="22">
        <v>0.4</v>
      </c>
      <c r="G16" s="21">
        <v>38638834</v>
      </c>
      <c r="H16" s="22">
        <v>1.3</v>
      </c>
      <c r="I16" s="23">
        <v>7243.9</v>
      </c>
      <c r="J16" s="22">
        <v>1.3</v>
      </c>
    </row>
    <row r="17" spans="1:10" x14ac:dyDescent="0.25">
      <c r="A17" s="5" t="s">
        <v>13</v>
      </c>
      <c r="B17" s="21">
        <v>10984</v>
      </c>
      <c r="C17" s="21">
        <v>10317</v>
      </c>
      <c r="D17" s="22">
        <v>0.3</v>
      </c>
      <c r="E17" s="22">
        <v>93.9</v>
      </c>
      <c r="F17" s="22">
        <v>0.3</v>
      </c>
      <c r="G17" s="21">
        <v>58883012</v>
      </c>
      <c r="H17" s="22">
        <v>1.1000000000000001</v>
      </c>
      <c r="I17" s="23">
        <v>5360.8</v>
      </c>
      <c r="J17" s="22">
        <v>1.1000000000000001</v>
      </c>
    </row>
    <row r="18" spans="1:10" ht="28" x14ac:dyDescent="0.25">
      <c r="A18" s="16" t="s">
        <v>14</v>
      </c>
      <c r="B18" s="14" t="s">
        <v>38</v>
      </c>
      <c r="C18" s="14" t="s">
        <v>39</v>
      </c>
      <c r="D18" s="14" t="s">
        <v>40</v>
      </c>
      <c r="E18" s="14" t="s">
        <v>41</v>
      </c>
      <c r="F18" s="14" t="s">
        <v>40</v>
      </c>
      <c r="G18" s="14" t="s">
        <v>42</v>
      </c>
      <c r="H18" s="14" t="s">
        <v>40</v>
      </c>
      <c r="I18" s="14" t="s">
        <v>43</v>
      </c>
      <c r="J18" s="14" t="s">
        <v>40</v>
      </c>
    </row>
    <row r="19" spans="1:10" x14ac:dyDescent="0.25">
      <c r="A19" s="5" t="s">
        <v>15</v>
      </c>
      <c r="B19" s="21">
        <v>15747</v>
      </c>
      <c r="C19" s="21">
        <v>15316</v>
      </c>
      <c r="D19" s="22">
        <v>0.2</v>
      </c>
      <c r="E19" s="22">
        <v>97.3</v>
      </c>
      <c r="F19" s="22">
        <v>0.2</v>
      </c>
      <c r="G19" s="21">
        <v>55638876</v>
      </c>
      <c r="H19" s="22">
        <v>1</v>
      </c>
      <c r="I19" s="23">
        <v>3533.3</v>
      </c>
      <c r="J19" s="22">
        <v>1</v>
      </c>
    </row>
    <row r="20" spans="1:10" x14ac:dyDescent="0.25">
      <c r="A20" s="1" t="s">
        <v>16</v>
      </c>
      <c r="B20" s="21">
        <v>204411</v>
      </c>
      <c r="C20" s="21">
        <v>161638</v>
      </c>
      <c r="D20" s="22">
        <v>1.5</v>
      </c>
      <c r="E20" s="22">
        <v>79.099999999999994</v>
      </c>
      <c r="F20" s="22">
        <v>1.5</v>
      </c>
      <c r="G20" s="21">
        <v>665471055</v>
      </c>
      <c r="H20" s="22">
        <v>0.6</v>
      </c>
      <c r="I20" s="23">
        <v>3255.6</v>
      </c>
      <c r="J20" s="22">
        <v>0.6</v>
      </c>
    </row>
    <row r="21" spans="1:10" ht="28" x14ac:dyDescent="0.25">
      <c r="A21" s="17" t="s">
        <v>17</v>
      </c>
      <c r="B21" s="14" t="s">
        <v>38</v>
      </c>
      <c r="C21" s="14" t="s">
        <v>39</v>
      </c>
      <c r="D21" s="14" t="s">
        <v>40</v>
      </c>
      <c r="E21" s="14" t="s">
        <v>41</v>
      </c>
      <c r="F21" s="14" t="s">
        <v>40</v>
      </c>
      <c r="G21" s="14" t="s">
        <v>42</v>
      </c>
      <c r="H21" s="14" t="s">
        <v>40</v>
      </c>
      <c r="I21" s="14" t="s">
        <v>43</v>
      </c>
      <c r="J21" s="14" t="s">
        <v>40</v>
      </c>
    </row>
    <row r="22" spans="1:10" x14ac:dyDescent="0.25">
      <c r="A22" s="5" t="s">
        <v>18</v>
      </c>
      <c r="B22" s="21">
        <v>3983</v>
      </c>
      <c r="C22" s="21">
        <v>2930</v>
      </c>
      <c r="D22" s="22">
        <v>0.9</v>
      </c>
      <c r="E22" s="22">
        <v>73.599999999999994</v>
      </c>
      <c r="F22" s="22">
        <v>0.9</v>
      </c>
      <c r="G22" s="21">
        <v>8589008</v>
      </c>
      <c r="H22" s="22">
        <v>3.1</v>
      </c>
      <c r="I22" s="23">
        <v>2156.4</v>
      </c>
      <c r="J22" s="22">
        <v>3.1</v>
      </c>
    </row>
    <row r="23" spans="1:10" x14ac:dyDescent="0.25">
      <c r="A23" s="15" t="s">
        <v>19</v>
      </c>
      <c r="B23" s="21">
        <v>5794</v>
      </c>
      <c r="C23" s="21">
        <v>5100</v>
      </c>
      <c r="D23" s="22">
        <v>0.4</v>
      </c>
      <c r="E23" s="22">
        <v>88</v>
      </c>
      <c r="F23" s="22">
        <v>0.4</v>
      </c>
      <c r="G23" s="21">
        <v>32370038</v>
      </c>
      <c r="H23" s="22">
        <v>1.2</v>
      </c>
      <c r="I23" s="23">
        <v>5586.8</v>
      </c>
      <c r="J23" s="22">
        <v>1.2</v>
      </c>
    </row>
    <row r="24" spans="1:10" x14ac:dyDescent="0.25">
      <c r="A24" s="15" t="s">
        <v>20</v>
      </c>
      <c r="B24" s="21">
        <v>2051</v>
      </c>
      <c r="C24" s="21">
        <v>1715</v>
      </c>
      <c r="D24" s="22">
        <v>0.3</v>
      </c>
      <c r="E24" s="22">
        <v>83.6</v>
      </c>
      <c r="F24" s="22">
        <v>0.3</v>
      </c>
      <c r="G24" s="21">
        <v>8479834</v>
      </c>
      <c r="H24" s="22">
        <v>1.1000000000000001</v>
      </c>
      <c r="I24" s="23">
        <v>4134.5</v>
      </c>
      <c r="J24" s="22">
        <v>1.1000000000000001</v>
      </c>
    </row>
    <row r="25" spans="1:10" x14ac:dyDescent="0.25">
      <c r="A25" s="5" t="s">
        <v>21</v>
      </c>
      <c r="B25" s="21">
        <v>7846</v>
      </c>
      <c r="C25" s="21">
        <v>6816</v>
      </c>
      <c r="D25" s="22">
        <v>0.4</v>
      </c>
      <c r="E25" s="22">
        <v>86.9</v>
      </c>
      <c r="F25" s="22">
        <v>0.4</v>
      </c>
      <c r="G25" s="21">
        <v>40849872</v>
      </c>
      <c r="H25" s="22">
        <v>1</v>
      </c>
      <c r="I25" s="23">
        <v>5206.5</v>
      </c>
      <c r="J25" s="22">
        <v>1</v>
      </c>
    </row>
    <row r="26" spans="1:10" x14ac:dyDescent="0.25">
      <c r="A26" s="1" t="s">
        <v>22</v>
      </c>
      <c r="B26" s="21">
        <v>11829</v>
      </c>
      <c r="C26" s="21">
        <v>9745</v>
      </c>
      <c r="D26" s="22">
        <v>0.5</v>
      </c>
      <c r="E26" s="22">
        <v>82.4</v>
      </c>
      <c r="F26" s="22">
        <v>0.5</v>
      </c>
      <c r="G26" s="21">
        <v>49438881</v>
      </c>
      <c r="H26" s="22">
        <v>1.1000000000000001</v>
      </c>
      <c r="I26" s="23">
        <v>4179.5</v>
      </c>
      <c r="J26" s="22">
        <v>1.1000000000000001</v>
      </c>
    </row>
    <row r="27" spans="1:10" ht="28" x14ac:dyDescent="0.25">
      <c r="A27" s="17" t="s">
        <v>23</v>
      </c>
      <c r="B27" s="14" t="s">
        <v>38</v>
      </c>
      <c r="C27" s="14" t="s">
        <v>39</v>
      </c>
      <c r="D27" s="14" t="s">
        <v>40</v>
      </c>
      <c r="E27" s="14" t="s">
        <v>41</v>
      </c>
      <c r="F27" s="14" t="s">
        <v>40</v>
      </c>
      <c r="G27" s="14" t="s">
        <v>42</v>
      </c>
      <c r="H27" s="14" t="s">
        <v>40</v>
      </c>
      <c r="I27" s="14" t="s">
        <v>43</v>
      </c>
      <c r="J27" s="14" t="s">
        <v>40</v>
      </c>
    </row>
    <row r="28" spans="1:10" x14ac:dyDescent="0.25">
      <c r="A28" s="5" t="s">
        <v>24</v>
      </c>
      <c r="B28" s="21">
        <v>2685</v>
      </c>
      <c r="C28" s="21">
        <v>1519</v>
      </c>
      <c r="D28" s="22">
        <v>2</v>
      </c>
      <c r="E28" s="22">
        <v>56.6</v>
      </c>
      <c r="F28" s="22">
        <v>2</v>
      </c>
      <c r="G28" s="21">
        <v>2630810</v>
      </c>
      <c r="H28" s="22">
        <v>8</v>
      </c>
      <c r="I28" s="23">
        <v>979.8</v>
      </c>
      <c r="J28" s="22">
        <v>8</v>
      </c>
    </row>
    <row r="29" spans="1:10" x14ac:dyDescent="0.25">
      <c r="A29" s="5" t="s">
        <v>25</v>
      </c>
      <c r="B29" s="21">
        <v>4354</v>
      </c>
      <c r="C29" s="21">
        <v>2299</v>
      </c>
      <c r="D29" s="22">
        <v>2.6</v>
      </c>
      <c r="E29" s="22">
        <v>52.8</v>
      </c>
      <c r="F29" s="22">
        <v>2.6</v>
      </c>
      <c r="G29" s="21">
        <v>639613</v>
      </c>
      <c r="H29" s="22">
        <v>6.9</v>
      </c>
      <c r="I29" s="23">
        <v>146.9</v>
      </c>
      <c r="J29" s="22">
        <v>6.9</v>
      </c>
    </row>
    <row r="30" spans="1:10" x14ac:dyDescent="0.25">
      <c r="A30" s="1" t="s">
        <v>26</v>
      </c>
      <c r="B30" s="21">
        <v>7039</v>
      </c>
      <c r="C30" s="21">
        <v>3818</v>
      </c>
      <c r="D30" s="22">
        <v>2.2999999999999998</v>
      </c>
      <c r="E30" s="22">
        <v>54.2</v>
      </c>
      <c r="F30" s="22">
        <v>2.2999999999999998</v>
      </c>
      <c r="G30" s="21">
        <v>3270423</v>
      </c>
      <c r="H30" s="22">
        <v>8.6999999999999993</v>
      </c>
      <c r="I30" s="23">
        <v>464.6</v>
      </c>
      <c r="J30" s="22">
        <v>8.6999999999999993</v>
      </c>
    </row>
    <row r="31" spans="1:10" ht="28" x14ac:dyDescent="0.25">
      <c r="A31" s="17" t="s">
        <v>27</v>
      </c>
      <c r="B31" s="14" t="s">
        <v>38</v>
      </c>
      <c r="C31" s="14" t="s">
        <v>39</v>
      </c>
      <c r="D31" s="14" t="s">
        <v>40</v>
      </c>
      <c r="E31" s="14" t="s">
        <v>41</v>
      </c>
      <c r="F31" s="14" t="s">
        <v>40</v>
      </c>
      <c r="G31" s="14" t="s">
        <v>42</v>
      </c>
      <c r="H31" s="14" t="s">
        <v>40</v>
      </c>
      <c r="I31" s="14" t="s">
        <v>43</v>
      </c>
      <c r="J31" s="14" t="s">
        <v>40</v>
      </c>
    </row>
    <row r="32" spans="1:10" x14ac:dyDescent="0.25">
      <c r="A32" s="5" t="s">
        <v>28</v>
      </c>
      <c r="B32" s="21">
        <v>32734</v>
      </c>
      <c r="C32" s="21">
        <v>20567</v>
      </c>
      <c r="D32" s="22">
        <v>2.6</v>
      </c>
      <c r="E32" s="22">
        <v>62.8</v>
      </c>
      <c r="F32" s="22">
        <v>2.6</v>
      </c>
      <c r="G32" s="21">
        <v>13509130</v>
      </c>
      <c r="H32" s="22">
        <v>3</v>
      </c>
      <c r="I32" s="23">
        <v>412.7</v>
      </c>
      <c r="J32" s="22">
        <v>3</v>
      </c>
    </row>
    <row r="33" spans="1:10" x14ac:dyDescent="0.25">
      <c r="A33" s="5" t="s">
        <v>29</v>
      </c>
      <c r="B33" s="21">
        <v>2998</v>
      </c>
      <c r="C33" s="21">
        <v>1828</v>
      </c>
      <c r="D33" s="22">
        <v>1.7</v>
      </c>
      <c r="E33" s="22">
        <v>61</v>
      </c>
      <c r="F33" s="22">
        <v>1.7</v>
      </c>
      <c r="G33" s="21">
        <v>4648439</v>
      </c>
      <c r="H33" s="22">
        <v>6.6</v>
      </c>
      <c r="I33" s="23">
        <v>1550.5</v>
      </c>
      <c r="J33" s="22">
        <v>6.6</v>
      </c>
    </row>
    <row r="34" spans="1:10" x14ac:dyDescent="0.25">
      <c r="A34" s="5" t="s">
        <v>30</v>
      </c>
      <c r="B34" s="21">
        <v>6097</v>
      </c>
      <c r="C34" s="21">
        <v>3295</v>
      </c>
      <c r="D34" s="22">
        <v>2.6</v>
      </c>
      <c r="E34" s="22">
        <v>54</v>
      </c>
      <c r="F34" s="22">
        <v>2.6</v>
      </c>
      <c r="G34" s="21">
        <v>1597363</v>
      </c>
      <c r="H34" s="22">
        <v>6.7</v>
      </c>
      <c r="I34" s="23">
        <v>262</v>
      </c>
      <c r="J34" s="22">
        <v>6.7</v>
      </c>
    </row>
    <row r="35" spans="1:10" x14ac:dyDescent="0.25">
      <c r="A35" s="5" t="s">
        <v>31</v>
      </c>
      <c r="B35" s="21">
        <v>1100</v>
      </c>
      <c r="C35" s="21">
        <v>677</v>
      </c>
      <c r="D35" s="22">
        <v>1</v>
      </c>
      <c r="E35" s="22">
        <v>61.5</v>
      </c>
      <c r="F35" s="22">
        <v>1</v>
      </c>
      <c r="G35" s="21">
        <v>2252546</v>
      </c>
      <c r="H35" s="22">
        <v>6</v>
      </c>
      <c r="I35" s="23">
        <v>2047.8</v>
      </c>
      <c r="J35" s="22">
        <v>6</v>
      </c>
    </row>
    <row r="36" spans="1:10" x14ac:dyDescent="0.25">
      <c r="A36" s="1" t="s">
        <v>32</v>
      </c>
      <c r="B36" s="21">
        <v>42929</v>
      </c>
      <c r="C36" s="21">
        <v>26367</v>
      </c>
      <c r="D36" s="22">
        <v>2.4</v>
      </c>
      <c r="E36" s="22">
        <v>61.4</v>
      </c>
      <c r="F36" s="22">
        <v>2.4</v>
      </c>
      <c r="G36" s="21">
        <v>22007478</v>
      </c>
      <c r="H36" s="22">
        <v>3.5</v>
      </c>
      <c r="I36" s="23">
        <v>512.6</v>
      </c>
      <c r="J36" s="22">
        <v>3.5</v>
      </c>
    </row>
    <row r="37" spans="1:10" x14ac:dyDescent="0.25">
      <c r="A37" s="18" t="s">
        <v>33</v>
      </c>
      <c r="B37" s="21">
        <v>3053</v>
      </c>
      <c r="C37" s="21">
        <v>2570</v>
      </c>
      <c r="D37" s="22">
        <v>0.4</v>
      </c>
      <c r="E37" s="22">
        <v>84.2</v>
      </c>
      <c r="F37" s="22">
        <v>0.4</v>
      </c>
      <c r="G37" s="21">
        <v>1710372</v>
      </c>
      <c r="H37" s="22">
        <v>3.2</v>
      </c>
      <c r="I37" s="23">
        <v>560.20000000000005</v>
      </c>
      <c r="J37" s="22">
        <v>3.2</v>
      </c>
    </row>
    <row r="38" spans="1:10" x14ac:dyDescent="0.25">
      <c r="A38" s="1" t="s">
        <v>34</v>
      </c>
      <c r="B38" s="21">
        <v>269262</v>
      </c>
      <c r="C38" s="21">
        <v>204138</v>
      </c>
      <c r="D38" s="22">
        <v>1.5</v>
      </c>
      <c r="E38" s="22">
        <v>75.8</v>
      </c>
      <c r="F38" s="22">
        <v>1.5</v>
      </c>
      <c r="G38" s="21">
        <v>741898208</v>
      </c>
      <c r="H38" s="22">
        <v>0.6</v>
      </c>
      <c r="I38" s="23">
        <v>2755.3</v>
      </c>
      <c r="J38" s="22">
        <v>0.6</v>
      </c>
    </row>
    <row r="39" spans="1:10" x14ac:dyDescent="0.25">
      <c r="A39" s="6" t="s">
        <v>35</v>
      </c>
      <c r="B39" s="19"/>
      <c r="C39" s="19"/>
      <c r="D39" s="20"/>
      <c r="E39" s="20"/>
      <c r="F39" s="20"/>
      <c r="G39" s="19"/>
      <c r="H39" s="20"/>
      <c r="I39" s="20"/>
      <c r="J39" s="20"/>
    </row>
    <row r="40" spans="1:10" x14ac:dyDescent="0.25">
      <c r="A40" s="9" t="s">
        <v>36</v>
      </c>
    </row>
    <row r="41" spans="1:10" x14ac:dyDescent="0.25">
      <c r="A41" s="10" t="s">
        <v>37</v>
      </c>
    </row>
    <row r="42" spans="1:10" x14ac:dyDescent="0.25">
      <c r="A42" s="1" t="s">
        <v>44</v>
      </c>
    </row>
    <row r="84" spans="1:10" s="6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s="6" customFormat="1" ht="12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s="6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</sheetData>
  <sheetProtection algorithmName="SHA-512" hashValue="sGQiLYpZZA7xRFr0T/mu7M4frSBKkRWg8ZTTEj4ONJnyMe89HCf03mqfT4bEyz+cvX8xPG0xu7bLX/IXQkCg0Q==" saltValue="cIsodfG2JvdzSKW5hB9PSA==" spinCount="100000" sheet="1" objects="1" scenarios="1"/>
  <conditionalFormatting sqref="D5:D11 F5:F11 H5:H11 J5:J11">
    <cfRule type="expression" dxfId="5" priority="6">
      <formula>AND(NOT(ISTEXT(D5)),D5&lt;&gt;"",D5&gt;=75)</formula>
    </cfRule>
  </conditionalFormatting>
  <conditionalFormatting sqref="J13:J17 H13:H17 F13:F17 D13:D17">
    <cfRule type="expression" dxfId="4" priority="5">
      <formula>AND(NOT(ISTEXT(D13)),D13&lt;&gt;"",D13&gt;=75)</formula>
    </cfRule>
  </conditionalFormatting>
  <conditionalFormatting sqref="D19:D20 F19:F20 H19:H20 J19:J20">
    <cfRule type="expression" dxfId="3" priority="4">
      <formula>AND(NOT(ISTEXT(D19)),D19&lt;&gt;"",D19&gt;=75)</formula>
    </cfRule>
  </conditionalFormatting>
  <conditionalFormatting sqref="J22:J26 H22:H26 F22:F26 D22:D26">
    <cfRule type="expression" dxfId="2" priority="3">
      <formula>AND(NOT(ISTEXT(D22)),D22&lt;&gt;"",D22&gt;=75)</formula>
    </cfRule>
  </conditionalFormatting>
  <conditionalFormatting sqref="D28:D30 F28:F30 H28:H30 J28:J30">
    <cfRule type="expression" dxfId="1" priority="2">
      <formula>AND(NOT(ISTEXT(D28)),D28&lt;&gt;"",D28&gt;=75)</formula>
    </cfRule>
  </conditionalFormatting>
  <conditionalFormatting sqref="J32:J38 H32:H38 F32:F38 D32:D38">
    <cfRule type="expression" dxfId="0" priority="1">
      <formula>AND(NOT(ISTEXT(D32)),D32&lt;&gt;"",D32&gt;=75)</formula>
    </cfRule>
  </conditionalFormatting>
  <pageMargins left="0.7" right="0.7" top="0.75" bottom="0.75" header="0.3" footer="0.3"/>
  <pageSetup scale="75" orientation="landscape" r:id="rId1"/>
  <headerFooter>
    <oddFooter>&amp;CPage 6 -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6.1</vt:lpstr>
      <vt:lpstr>Chart14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Cevilla, Becca</dc:creator>
  <cp:lastModifiedBy>Krecker, Peg</cp:lastModifiedBy>
  <cp:lastPrinted>2019-10-11T19:05:40Z</cp:lastPrinted>
  <dcterms:created xsi:type="dcterms:W3CDTF">2019-10-11T18:30:28Z</dcterms:created>
  <dcterms:modified xsi:type="dcterms:W3CDTF">2021-12-03T20:30:27Z</dcterms:modified>
</cp:coreProperties>
</file>