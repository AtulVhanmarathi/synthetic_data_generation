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A-2020 GA Survey\Report\Draft Section 508\"/>
    </mc:Choice>
  </mc:AlternateContent>
  <xr:revisionPtr revIDLastSave="0" documentId="13_ncr:1_{500799EE-1F9A-42F6-8549-6F22D555731C}" xr6:coauthVersionLast="46" xr6:coauthVersionMax="46" xr10:uidLastSave="{00000000-0000-0000-0000-000000000000}"/>
  <bookViews>
    <workbookView xWindow="-110" yWindow="-110" windowWidth="19420" windowHeight="10560" xr2:uid="{101C740C-7930-432A-AFE5-FA5659947041}"/>
  </bookViews>
  <sheets>
    <sheet name="Chart12" sheetId="2" r:id="rId1"/>
    <sheet name="4.1" sheetId="1" r:id="rId2"/>
  </sheets>
  <externalReferences>
    <externalReference r:id="rId3"/>
    <externalReference r:id="rId4"/>
  </externalReferences>
  <definedNames>
    <definedName name="Chart12">[1]Instructions!$H$9</definedName>
    <definedName name="new_sheet_name">[2]Instructions!$H$9</definedName>
    <definedName name="_xlnm.Print_Titles" localSheetId="1">'4.1'!#REF!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<sst xmlns="http://schemas.openxmlformats.org/spreadsheetml/2006/main" count="168" uniqueCount="52">
  <si>
    <t>IFR FLIGHT PLANS</t>
  </si>
  <si>
    <t>VFR FLIGHT PLANS</t>
  </si>
  <si>
    <t>NO FLIGHT PLANS</t>
  </si>
  <si>
    <t>TOTAL FLIGHT PLANS</t>
  </si>
  <si>
    <t>AIRCRAFT TYPE</t>
  </si>
  <si>
    <t>Fixed Wing</t>
  </si>
  <si>
    <t>Fixed Wing - Piston</t>
  </si>
  <si>
    <t>1 Eng: 1-3 Seats</t>
  </si>
  <si>
    <t>1 Eng: 4+ Seats</t>
  </si>
  <si>
    <t>1 Engine: Total</t>
  </si>
  <si>
    <t>2 Eng: 1-6 Seats</t>
  </si>
  <si>
    <t>2 Eng: 7+ Seats</t>
  </si>
  <si>
    <t>2 Engine: Total</t>
  </si>
  <si>
    <t>Piston: Total</t>
  </si>
  <si>
    <t>Fixed Wing - Turboprop</t>
  </si>
  <si>
    <t>2 Eng: 1-12 Seats</t>
  </si>
  <si>
    <t>2 Eng: 13+ Seats</t>
  </si>
  <si>
    <t>Turboprop: Total</t>
  </si>
  <si>
    <t>Fixed Wing - Turbojet</t>
  </si>
  <si>
    <t>Turbojet: Total</t>
  </si>
  <si>
    <t>Fixed Wing: Total</t>
  </si>
  <si>
    <t>Rotorcraft</t>
  </si>
  <si>
    <t>Piston</t>
  </si>
  <si>
    <t>1 Eng: Turbine</t>
  </si>
  <si>
    <t>Multi-Eng: Turbine</t>
  </si>
  <si>
    <t>Turbine: Total</t>
  </si>
  <si>
    <t>Rotocraft: Total</t>
  </si>
  <si>
    <t>Other Aircraft</t>
  </si>
  <si>
    <t>Gliders</t>
  </si>
  <si>
    <t>Lighter-than-air</t>
  </si>
  <si>
    <t>Other Aircraft: Total</t>
  </si>
  <si>
    <t>Experimental</t>
  </si>
  <si>
    <t>Amateur</t>
  </si>
  <si>
    <t>Exhibition</t>
  </si>
  <si>
    <t>Exper Light-sport</t>
  </si>
  <si>
    <t>Other Experimental</t>
  </si>
  <si>
    <t>Experimental: Total</t>
  </si>
  <si>
    <t>Special Light-sport</t>
  </si>
  <si>
    <t>Total All Aircraft</t>
  </si>
  <si>
    <t>Table Notes:</t>
  </si>
  <si>
    <t>Columns may not add to totals due to rounding.</t>
  </si>
  <si>
    <t>Flight plan categories are split across pages so that more detail can be reported.</t>
  </si>
  <si>
    <t>Survey questions about flight plans and flight conditions were changed in 2016. Estimates may vary from previous years.</t>
  </si>
  <si>
    <t xml:space="preserve">Experimental light-sport includes aircraft with experimental airworthiness certification and light-sport aircraft for which airworthiness certificates are not final. </t>
  </si>
  <si>
    <t>*Estimates are suppressed when there are too few survey observations to support reliable estimates. The activity is included in the total estimate for all aircraft.</t>
  </si>
  <si>
    <t>FLIGHT PLAN TYPE</t>
  </si>
  <si>
    <t>Number Aircraft Active</t>
  </si>
  <si>
    <t>Percent Standard Error</t>
  </si>
  <si>
    <t>Hours Flown</t>
  </si>
  <si>
    <t>End of worksheet</t>
  </si>
  <si>
    <t xml:space="preserve">Table 4.1 - 2020 GENERAL AVIATION AND PART 135  ACTIVE AIRCRAFT AND TOTAL HOURS FLOWN BY FLIGHT PLAN BY AIRCRAFT TYPE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</si>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</sst>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2" fillId="0" borderId="0" xfId="1" applyFont="1" applyFill="1"/>
    <xf numFmtId="3" fontId="2" fillId="0" borderId="0" xfId="1" applyNumberFormat="1" applyFont="1" applyFill="1"/>
    <xf numFmtId="164" fontId="2" fillId="0" borderId="0" xfId="1" applyNumberFormat="1" applyFont="1" applyFill="1"/>
    <xf numFmtId="0" fontId="2" fillId="0" borderId="0" xfId="1" applyFont="1" applyFill="1" applyBorder="1"/>
    <xf numFmtId="0" fontId="2" fillId="0" borderId="0" xfId="1" applyFont="1" applyFill="1" applyAlignment="1">
      <alignment horizontal="left" indent="1"/>
    </xf>
    <xf numFmtId="0" fontId="2" fillId="0" borderId="0" xfId="1" applyFont="1" applyFill="1" applyAlignment="1">
      <alignment horizontal="left" indent="2"/>
    </xf>
    <xf numFmtId="0" fontId="3" fillId="0" borderId="0" xfId="1" applyFont="1" applyFill="1"/>
    <xf numFmtId="165" fontId="2" fillId="0" borderId="0" xfId="1" applyNumberFormat="1" applyFont="1" applyFill="1"/>
    <xf numFmtId="0" fontId="2" fillId="0" borderId="1" xfId="1" applyFont="1" applyFill="1" applyBorder="1" applyAlignment="1">
      <alignment horizontal="left" indent="1"/>
    </xf>
    <xf numFmtId="0" fontId="2" fillId="0" borderId="1" xfId="1" applyFont="1" applyFill="1" applyBorder="1"/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/>
    <xf numFmtId="0" fontId="4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3" fontId="2" fillId="0" borderId="0" xfId="1" applyNumberFormat="1" applyFont="1"/>
    <xf numFmtId="165" fontId="2" fillId="0" borderId="0" xfId="1" applyNumberFormat="1" applyFont="1"/>
    <xf numFmtId="3" fontId="2" fillId="0" borderId="0" xfId="1" applyNumberFormat="1" applyFont="1" applyFill="1" applyBorder="1"/>
    <xf numFmtId="164" fontId="2" fillId="0" borderId="0" xfId="1" applyNumberFormat="1" applyFont="1" applyFill="1" applyBorder="1"/>
    <xf numFmtId="3" fontId="2" fillId="0" borderId="0" xfId="1" applyNumberFormat="1"/>
    <xf numFmtId="165" fontId="2" fillId="0" borderId="0" xfId="1" applyNumberFormat="1"/>
    <xf numFmtId="3" fontId="2" fillId="0" borderId="0" xfId="1" applyNumberFormat="1" applyAlignment="1">
      <alignment horizontal="right"/>
    </xf>
  </cellXfs>
  <cellStyles count="3">
    <cellStyle name="Normal" xfId="0" builtinId="0"/>
    <cellStyle name="Normal 2" xfId="1" xr:uid="{C2D7792E-DA63-4DD6-B142-B952F4CDD41B}"/>
    <cellStyle name="Normal 3" xfId="2" xr:uid="{52CB48F0-D512-452E-A5A6-1298BD46988A}"/>
  </cellStyles>
  <dxfs count="16"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  <dxf>
      <font>
        <color theme="9" tint="-0.499984740745262"/>
      </font>
      <fill>
        <patternFill>
          <bgColor rgb="FFD7FA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</a:rPr>
              <a:t>Chart 12</a:t>
            </a:r>
          </a:p>
          <a:p>
            <a:pPr>
              <a:defRPr/>
            </a:pPr>
            <a:r>
              <a:rPr lang="en-US">
                <a:solidFill>
                  <a:sysClr val="windowText" lastClr="000000"/>
                </a:solidFill>
              </a:rPr>
              <a:t>2020 Cumulative</a:t>
            </a:r>
            <a:r>
              <a:rPr lang="en-US" baseline="0">
                <a:solidFill>
                  <a:sysClr val="windowText" lastClr="000000"/>
                </a:solidFill>
              </a:rPr>
              <a:t> Percentage of Hours Flown by Flight Plan, </a:t>
            </a:r>
            <a:br>
              <a:rPr lang="en-US" baseline="0">
                <a:solidFill>
                  <a:sysClr val="windowText" lastClr="000000"/>
                </a:solidFill>
              </a:rPr>
            </a:br>
            <a:r>
              <a:rPr lang="en-US" baseline="0">
                <a:solidFill>
                  <a:sysClr val="windowText" lastClr="000000"/>
                </a:solidFill>
              </a:rPr>
              <a:t>by Aircraft Type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v>VFR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Wing: Piston</c:v>
              </c:pt>
              <c:pt idx="1">
                <c:v>Fixed Wing: Turboprop</c:v>
              </c:pt>
              <c:pt idx="2">
                <c:v>Fixed Wing: Turbojet</c:v>
              </c:pt>
              <c:pt idx="3">
                <c:v>Rotorcraft: Piston</c:v>
              </c:pt>
              <c:pt idx="4">
                <c:v>Rotorcraft: Turbine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3083962</c:v>
              </c:pt>
              <c:pt idx="1">
                <c:v>171184</c:v>
              </c:pt>
              <c:pt idx="2">
                <c:v>116459</c:v>
              </c:pt>
              <c:pt idx="3">
                <c:v>100929</c:v>
              </c:pt>
              <c:pt idx="4">
                <c:v>672075</c:v>
              </c:pt>
              <c:pt idx="5">
                <c:v>14485</c:v>
              </c:pt>
              <c:pt idx="6">
                <c:v>167218</c:v>
              </c:pt>
              <c:pt idx="7">
                <c:v>41291</c:v>
              </c:pt>
            </c:numLit>
          </c:val>
          <c:extLst>
            <c:ext xmlns:c16="http://schemas.microsoft.com/office/drawing/2014/chart" uri="{C3380CC4-5D6E-409C-BE32-E72D297353CC}">
              <c16:uniqueId val="{00000000-6657-45C4-A25B-773C669E6FA4}"/>
            </c:ext>
          </c:extLst>
        </c:ser>
        <c:ser>
          <c:idx val="1"/>
          <c:order val="1"/>
          <c:tx>
            <c:v>IFR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Fixed Wing: Piston</c:v>
              </c:pt>
              <c:pt idx="1">
                <c:v>Fixed Wing: Turboprop</c:v>
              </c:pt>
              <c:pt idx="2">
                <c:v>Fixed Wing: Turbojet</c:v>
              </c:pt>
              <c:pt idx="3">
                <c:v>Rotorcraft: Piston</c:v>
              </c:pt>
              <c:pt idx="4">
                <c:v>Rotorcraft: Turbine</c:v>
              </c:pt>
              <c:pt idx="5">
                <c:v>Other Aircraft</c:v>
              </c:pt>
              <c:pt idx="6">
                <c:v>Experimental</c:v>
              </c:pt>
              <c:pt idx="7">
                <c:v>Special Light-sport</c:v>
              </c:pt>
            </c:strLit>
          </c:cat>
          <c:val>
            <c:numLit>
              <c:formatCode>General</c:formatCode>
              <c:ptCount val="8"/>
              <c:pt idx="0">
                <c:v>2353784</c:v>
              </c:pt>
              <c:pt idx="1">
                <c:v>1601431</c:v>
              </c:pt>
              <c:pt idx="2">
                <c:v>3196093</c:v>
              </c:pt>
              <c:pt idx="3">
                <c:v>0</c:v>
              </c:pt>
              <c:pt idx="4">
                <c:v>43790</c:v>
              </c:pt>
              <c:pt idx="5">
                <c:v>0</c:v>
              </c:pt>
              <c:pt idx="6">
                <c:v>56992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657-45C4-A25B-773C669E6FA4}"/>
            </c:ext>
          </c:extLst>
        </c:ser>
        <c:ser>
          <c:idx val="2"/>
          <c:order val="2"/>
          <c:tx>
            <c:v>No Plans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8"/>
              <c:pt idx="0">
                <c:v>7501728</c:v>
              </c:pt>
              <c:pt idx="1">
                <c:v>571814</c:v>
              </c:pt>
              <c:pt idx="2">
                <c:v>23675</c:v>
              </c:pt>
              <c:pt idx="3">
                <c:v>435973</c:v>
              </c:pt>
              <c:pt idx="4">
                <c:v>1155077</c:v>
              </c:pt>
              <c:pt idx="5">
                <c:v>69736</c:v>
              </c:pt>
              <c:pt idx="6">
                <c:v>951713</c:v>
              </c:pt>
              <c:pt idx="7">
                <c:v>160244</c:v>
              </c:pt>
            </c:numLit>
          </c:val>
          <c:extLst>
            <c:ext xmlns:c16="http://schemas.microsoft.com/office/drawing/2014/chart" uri="{C3380CC4-5D6E-409C-BE32-E72D297353CC}">
              <c16:uniqueId val="{00000002-6657-45C4-A25B-773C669E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003152"/>
        <c:axId val="219504040"/>
      </c:barChart>
      <c:catAx>
        <c:axId val="222003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04040"/>
        <c:crosses val="autoZero"/>
        <c:auto val="1"/>
        <c:lblAlgn val="ctr"/>
        <c:lblOffset val="100"/>
        <c:noMultiLvlLbl val="0"/>
      </c:catAx>
      <c:valAx>
        <c:axId val="2195040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200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5E9D2B-A5EE-4122-B523-9F7B5948926B}">
  <sheetPr/>
  <sheetViews>
    <sheetView tabSelected="1" zoomScale="66" workbookViewId="0" zoomToFit="1"/>
  </sheetViews>
  <sheetProtection algorithmName="SHA-512" hashValue="rT9N9Ob58L89EBppeTR0XH4tgkDLBWve57ON/MD/J+lPzbfZPrTgmLmiVPmHrurbiD2eE5tjsDuC5GGd1DYN/A==" saltValue="DmVrsFlK2WbzEgOor7RQDQ==" spinCount="100000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81351"/>
    <xdr:graphicFrame macro="">
      <xdr:nvGraphicFramePr>
        <xdr:cNvPr id="2" name="Chart 1" descr="Chart 12 - 2020 Cumulative Percentage of Hours Flown by Flight Plan by Aircraft Type&#10;&#10;This bar chart shows the cumulative percentage of hours flown by flight plan by major aircraft type.&#10;">
          <a:extLst>
            <a:ext uri="{FF2B5EF4-FFF2-40B4-BE49-F238E27FC236}">
              <a16:creationId xmlns:a16="http://schemas.microsoft.com/office/drawing/2014/main" id="{0D0EC273-D9A0-4B1B-A9C8-4B7CB29D32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0.72783</cdr:x>
      <cdr:y>0.96211</cdr:y>
    </cdr:from>
    <cdr:to>
      <cdr:x>1</cdr:x>
      <cdr:y>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297103" y="6045729"/>
          <a:ext cx="2354772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900" baseline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2020 GA Survey, 4.1</a:t>
          </a:r>
          <a:endParaRPr lang="en-US" sz="9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A-2018%20GA%20Survey/Report/Draft%20Tables%20-%20Chapters%201-7%20V2/Separate%20Tables/FAA%20Table%204.1_2018_09OCT201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s332fs1.tt.local\files\FAA-2018%20GA%20Survey\Report\Draft%20Tables%20-%20Chapters%201-7%20V2\Separate%20Tables\FAA%20Table%204.1_2018_09OCT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2017"/>
      <sheetName val="4.1 2018"/>
      <sheetName val="Instructions"/>
      <sheetName val="SAS data input"/>
      <sheetName val="SAS data input headers"/>
      <sheetName val="SAS data input_example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4.1 2018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 2017"/>
      <sheetName val="4.1 2018"/>
      <sheetName val="Instructions"/>
      <sheetName val="SAS data input"/>
      <sheetName val="SAS data input headers"/>
      <sheetName val="SAS data input_example"/>
      <sheetName val="Cond Format settings"/>
      <sheetName val="Formatting template"/>
      <sheetName val="Comparing to last yr"/>
    </sheetNames>
    <sheetDataSet>
      <sheetData sheetId="0"/>
      <sheetData sheetId="1"/>
      <sheetData sheetId="2">
        <row r="9">
          <cell r="H9" t="str">
            <v>4.1 2018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AF4B-5989-49FA-B6F0-AC6B3DDA3317}">
  <dimension ref="A1:Q48"/>
  <sheetViews>
    <sheetView zoomScaleNormal="100" workbookViewId="0"/>
  </sheetViews>
  <sheetFormatPr defaultColWidth="9.1796875" defaultRowHeight="12.5" x14ac:dyDescent="0.25"/>
  <cols>
    <col min="1" max="1" width="23.7265625" style="1" customWidth="1"/>
    <col min="2" max="6" width="14.26953125" style="1" customWidth="1"/>
    <col min="7" max="7" width="14.26953125" style="2" customWidth="1"/>
    <col min="8" max="8" width="14.26953125" style="1" customWidth="1"/>
    <col min="9" max="9" width="14.26953125" style="2" customWidth="1"/>
    <col min="10" max="10" width="14.26953125" style="3" customWidth="1"/>
    <col min="11" max="11" width="14.26953125" style="8" customWidth="1"/>
    <col min="12" max="12" width="14.26953125" style="1" customWidth="1"/>
    <col min="13" max="13" width="14.26953125" style="2" customWidth="1"/>
    <col min="14" max="14" width="14.26953125" style="1" customWidth="1"/>
    <col min="15" max="15" width="14.26953125" style="3" customWidth="1"/>
    <col min="16" max="16" width="14.26953125" style="8" customWidth="1"/>
    <col min="17" max="17" width="14.26953125" style="1" customWidth="1"/>
    <col min="18" max="16384" width="9.1796875" style="1"/>
  </cols>
  <sheetData>
    <row r="1" spans="1:17" s="15" customFormat="1" ht="109" customHeight="1" x14ac:dyDescent="0.3">
      <c r="A1" s="13" t="s">
        <v>50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s="15" customFormat="1" ht="42" x14ac:dyDescent="0.3">
      <c r="A2" s="16" t="s">
        <v>45</v>
      </c>
      <c r="B2" s="17" t="s">
        <v>0</v>
      </c>
      <c r="C2" s="17" t="s">
        <v>0</v>
      </c>
      <c r="D2" s="17" t="s">
        <v>0</v>
      </c>
      <c r="E2" s="17" t="s">
        <v>0</v>
      </c>
      <c r="F2" s="17" t="s">
        <v>1</v>
      </c>
      <c r="G2" s="17" t="s">
        <v>1</v>
      </c>
      <c r="H2" s="17" t="s">
        <v>1</v>
      </c>
      <c r="I2" s="17" t="s">
        <v>1</v>
      </c>
      <c r="J2" s="17" t="s">
        <v>2</v>
      </c>
      <c r="K2" s="17" t="s">
        <v>2</v>
      </c>
      <c r="L2" s="17" t="s">
        <v>2</v>
      </c>
      <c r="M2" s="17" t="s">
        <v>2</v>
      </c>
      <c r="N2" s="17" t="s">
        <v>3</v>
      </c>
      <c r="O2" s="17" t="s">
        <v>3</v>
      </c>
      <c r="P2" s="17" t="s">
        <v>3</v>
      </c>
      <c r="Q2" s="17" t="s">
        <v>3</v>
      </c>
    </row>
    <row r="3" spans="1:17" s="21" customFormat="1" ht="28" x14ac:dyDescent="0.35">
      <c r="A3" s="18" t="s">
        <v>4</v>
      </c>
      <c r="B3" s="19" t="s">
        <v>46</v>
      </c>
      <c r="C3" s="20" t="s">
        <v>47</v>
      </c>
      <c r="D3" s="19" t="s">
        <v>48</v>
      </c>
      <c r="E3" s="20" t="s">
        <v>47</v>
      </c>
      <c r="F3" s="19" t="s">
        <v>46</v>
      </c>
      <c r="G3" s="20" t="s">
        <v>47</v>
      </c>
      <c r="H3" s="19" t="s">
        <v>48</v>
      </c>
      <c r="I3" s="20" t="s">
        <v>47</v>
      </c>
      <c r="J3" s="19" t="s">
        <v>46</v>
      </c>
      <c r="K3" s="20" t="s">
        <v>47</v>
      </c>
      <c r="L3" s="19" t="s">
        <v>48</v>
      </c>
      <c r="M3" s="20" t="s">
        <v>47</v>
      </c>
      <c r="N3" s="19" t="s">
        <v>46</v>
      </c>
      <c r="O3" s="20" t="s">
        <v>47</v>
      </c>
      <c r="P3" s="19" t="s">
        <v>48</v>
      </c>
      <c r="Q3" s="20" t="s">
        <v>47</v>
      </c>
    </row>
    <row r="4" spans="1:17" x14ac:dyDescent="0.25">
      <c r="A4" s="1" t="s">
        <v>5</v>
      </c>
      <c r="B4" s="2"/>
      <c r="C4" s="3"/>
      <c r="D4" s="2"/>
      <c r="E4" s="3"/>
      <c r="F4" s="2"/>
      <c r="G4" s="3"/>
      <c r="H4" s="2"/>
      <c r="I4" s="3"/>
      <c r="J4" s="2"/>
      <c r="K4" s="3"/>
      <c r="L4" s="2"/>
      <c r="M4" s="3"/>
      <c r="N4" s="2"/>
      <c r="P4" s="2"/>
      <c r="Q4" s="3"/>
    </row>
    <row r="5" spans="1:17" x14ac:dyDescent="0.25">
      <c r="A5" s="5" t="s">
        <v>6</v>
      </c>
      <c r="B5" s="22"/>
      <c r="C5" s="23"/>
      <c r="D5" s="22"/>
      <c r="E5" s="23"/>
      <c r="F5" s="22"/>
      <c r="G5" s="23"/>
      <c r="H5" s="22"/>
      <c r="I5" s="23"/>
      <c r="J5" s="22"/>
      <c r="K5" s="23"/>
      <c r="L5" s="22"/>
      <c r="M5" s="23"/>
      <c r="N5" s="22"/>
      <c r="O5" s="23"/>
      <c r="P5" s="22"/>
      <c r="Q5" s="23"/>
    </row>
    <row r="6" spans="1:17" x14ac:dyDescent="0.25">
      <c r="A6" s="6" t="s">
        <v>7</v>
      </c>
      <c r="B6" s="26">
        <v>4250</v>
      </c>
      <c r="C6" s="27">
        <v>13.3</v>
      </c>
      <c r="D6" s="26">
        <v>32310</v>
      </c>
      <c r="E6" s="27">
        <v>20.399999999999999</v>
      </c>
      <c r="F6" s="26">
        <v>11316</v>
      </c>
      <c r="G6" s="27">
        <v>7.5</v>
      </c>
      <c r="H6" s="26">
        <v>415753</v>
      </c>
      <c r="I6" s="27">
        <v>9</v>
      </c>
      <c r="J6" s="26">
        <v>26746</v>
      </c>
      <c r="K6" s="27">
        <v>3.8</v>
      </c>
      <c r="L6" s="26">
        <v>1569525</v>
      </c>
      <c r="M6" s="27">
        <v>8.4</v>
      </c>
      <c r="N6" s="26">
        <v>31166</v>
      </c>
      <c r="O6" s="27">
        <v>3.2</v>
      </c>
      <c r="P6" s="26">
        <v>2017589</v>
      </c>
      <c r="Q6" s="27">
        <v>7</v>
      </c>
    </row>
    <row r="7" spans="1:17" x14ac:dyDescent="0.25">
      <c r="A7" s="6" t="s">
        <v>8</v>
      </c>
      <c r="B7" s="26">
        <v>46849</v>
      </c>
      <c r="C7" s="27">
        <v>4.5999999999999996</v>
      </c>
      <c r="D7" s="26">
        <v>1710870</v>
      </c>
      <c r="E7" s="27">
        <v>3</v>
      </c>
      <c r="F7" s="26">
        <v>47314</v>
      </c>
      <c r="G7" s="27">
        <v>4.5999999999999996</v>
      </c>
      <c r="H7" s="26">
        <v>2412848</v>
      </c>
      <c r="I7" s="27">
        <v>3.8</v>
      </c>
      <c r="J7" s="26">
        <v>75815</v>
      </c>
      <c r="K7" s="27">
        <v>2.7</v>
      </c>
      <c r="L7" s="26">
        <v>5461690</v>
      </c>
      <c r="M7" s="27">
        <v>2.9</v>
      </c>
      <c r="N7" s="26">
        <v>92892</v>
      </c>
      <c r="O7" s="27">
        <v>1.8</v>
      </c>
      <c r="P7" s="26">
        <v>9585408</v>
      </c>
      <c r="Q7" s="27">
        <v>2.5</v>
      </c>
    </row>
    <row r="8" spans="1:17" x14ac:dyDescent="0.25">
      <c r="A8" s="6" t="s">
        <v>9</v>
      </c>
      <c r="B8" s="26">
        <v>51099</v>
      </c>
      <c r="C8" s="27">
        <v>5.8</v>
      </c>
      <c r="D8" s="26">
        <v>1743180</v>
      </c>
      <c r="E8" s="27">
        <v>3.2</v>
      </c>
      <c r="F8" s="26">
        <v>58630</v>
      </c>
      <c r="G8" s="27">
        <v>5.2</v>
      </c>
      <c r="H8" s="26">
        <v>2828601</v>
      </c>
      <c r="I8" s="27">
        <v>3.6</v>
      </c>
      <c r="J8" s="26">
        <v>102562</v>
      </c>
      <c r="K8" s="27">
        <v>3</v>
      </c>
      <c r="L8" s="26">
        <v>7031215</v>
      </c>
      <c r="M8" s="27">
        <v>2.9</v>
      </c>
      <c r="N8" s="26">
        <v>124059</v>
      </c>
      <c r="O8" s="27">
        <v>2.2000000000000002</v>
      </c>
      <c r="P8" s="26">
        <v>11602997</v>
      </c>
      <c r="Q8" s="27">
        <v>2.4</v>
      </c>
    </row>
    <row r="9" spans="1:17" x14ac:dyDescent="0.25">
      <c r="A9" s="6" t="s">
        <v>10</v>
      </c>
      <c r="B9" s="26">
        <v>7088</v>
      </c>
      <c r="C9" s="27">
        <v>1.5</v>
      </c>
      <c r="D9" s="26">
        <v>441744</v>
      </c>
      <c r="E9" s="27">
        <v>3.6</v>
      </c>
      <c r="F9" s="26">
        <v>4234</v>
      </c>
      <c r="G9" s="27">
        <v>2.5</v>
      </c>
      <c r="H9" s="26">
        <v>163927</v>
      </c>
      <c r="I9" s="27">
        <v>5.2</v>
      </c>
      <c r="J9" s="26">
        <v>6794</v>
      </c>
      <c r="K9" s="27">
        <v>1.6</v>
      </c>
      <c r="L9" s="26">
        <v>369720</v>
      </c>
      <c r="M9" s="27">
        <v>4.3</v>
      </c>
      <c r="N9" s="26">
        <v>8851</v>
      </c>
      <c r="O9" s="27">
        <v>1.1000000000000001</v>
      </c>
      <c r="P9" s="26">
        <v>975391</v>
      </c>
      <c r="Q9" s="27">
        <v>3.5</v>
      </c>
    </row>
    <row r="10" spans="1:17" x14ac:dyDescent="0.25">
      <c r="A10" s="6" t="s">
        <v>11</v>
      </c>
      <c r="B10" s="26">
        <v>2615</v>
      </c>
      <c r="C10" s="27">
        <v>1.2</v>
      </c>
      <c r="D10" s="26">
        <v>168860</v>
      </c>
      <c r="E10" s="27">
        <v>5.5</v>
      </c>
      <c r="F10" s="26">
        <v>1722</v>
      </c>
      <c r="G10" s="27">
        <v>2</v>
      </c>
      <c r="H10" s="26">
        <v>91434</v>
      </c>
      <c r="I10" s="27">
        <v>9</v>
      </c>
      <c r="J10" s="26">
        <v>2259</v>
      </c>
      <c r="K10" s="27">
        <v>1.5</v>
      </c>
      <c r="L10" s="26">
        <v>100792</v>
      </c>
      <c r="M10" s="27">
        <v>7.3</v>
      </c>
      <c r="N10" s="26">
        <v>3096</v>
      </c>
      <c r="O10" s="27">
        <v>0.9</v>
      </c>
      <c r="P10" s="26">
        <v>361085</v>
      </c>
      <c r="Q10" s="27">
        <v>5.0999999999999996</v>
      </c>
    </row>
    <row r="11" spans="1:17" x14ac:dyDescent="0.25">
      <c r="A11" s="6" t="s">
        <v>12</v>
      </c>
      <c r="B11" s="26">
        <v>9703</v>
      </c>
      <c r="C11" s="27">
        <v>1.5</v>
      </c>
      <c r="D11" s="26">
        <v>610603</v>
      </c>
      <c r="E11" s="27">
        <v>3</v>
      </c>
      <c r="F11" s="26">
        <v>5956</v>
      </c>
      <c r="G11" s="27">
        <v>2.4</v>
      </c>
      <c r="H11" s="26">
        <v>255361</v>
      </c>
      <c r="I11" s="27">
        <v>4.8</v>
      </c>
      <c r="J11" s="26">
        <v>9053</v>
      </c>
      <c r="K11" s="27">
        <v>1.6</v>
      </c>
      <c r="L11" s="26">
        <v>470512</v>
      </c>
      <c r="M11" s="27">
        <v>3.7</v>
      </c>
      <c r="N11" s="26">
        <v>11947</v>
      </c>
      <c r="O11" s="27">
        <v>1</v>
      </c>
      <c r="P11" s="26">
        <v>1336476</v>
      </c>
      <c r="Q11" s="27">
        <v>2.9</v>
      </c>
    </row>
    <row r="12" spans="1:17" x14ac:dyDescent="0.25">
      <c r="A12" s="5" t="s">
        <v>13</v>
      </c>
      <c r="B12" s="26">
        <v>60802</v>
      </c>
      <c r="C12" s="27">
        <v>4.9000000000000004</v>
      </c>
      <c r="D12" s="26">
        <v>2353784</v>
      </c>
      <c r="E12" s="27">
        <v>2.6</v>
      </c>
      <c r="F12" s="26">
        <v>64586</v>
      </c>
      <c r="G12" s="27">
        <v>4.7</v>
      </c>
      <c r="H12" s="26">
        <v>3083962</v>
      </c>
      <c r="I12" s="27">
        <v>3</v>
      </c>
      <c r="J12" s="26">
        <v>111615</v>
      </c>
      <c r="K12" s="27">
        <v>2.7</v>
      </c>
      <c r="L12" s="26">
        <v>7501728</v>
      </c>
      <c r="M12" s="27">
        <v>2.5</v>
      </c>
      <c r="N12" s="26">
        <v>136006</v>
      </c>
      <c r="O12" s="27">
        <v>2</v>
      </c>
      <c r="P12" s="26">
        <v>12939473</v>
      </c>
      <c r="Q12" s="27">
        <v>2</v>
      </c>
    </row>
    <row r="13" spans="1:17" ht="28" x14ac:dyDescent="0.25">
      <c r="A13" s="9" t="s">
        <v>14</v>
      </c>
      <c r="B13" s="19" t="s">
        <v>46</v>
      </c>
      <c r="C13" s="20" t="s">
        <v>47</v>
      </c>
      <c r="D13" s="19" t="s">
        <v>48</v>
      </c>
      <c r="E13" s="20" t="s">
        <v>47</v>
      </c>
      <c r="F13" s="19" t="s">
        <v>46</v>
      </c>
      <c r="G13" s="20" t="s">
        <v>47</v>
      </c>
      <c r="H13" s="19" t="s">
        <v>48</v>
      </c>
      <c r="I13" s="20" t="s">
        <v>47</v>
      </c>
      <c r="J13" s="19" t="s">
        <v>46</v>
      </c>
      <c r="K13" s="20" t="s">
        <v>47</v>
      </c>
      <c r="L13" s="19" t="s">
        <v>48</v>
      </c>
      <c r="M13" s="20" t="s">
        <v>47</v>
      </c>
      <c r="N13" s="19" t="s">
        <v>46</v>
      </c>
      <c r="O13" s="20" t="s">
        <v>47</v>
      </c>
      <c r="P13" s="19" t="s">
        <v>48</v>
      </c>
      <c r="Q13" s="20" t="s">
        <v>47</v>
      </c>
    </row>
    <row r="14" spans="1:17" x14ac:dyDescent="0.25">
      <c r="A14" s="6" t="s">
        <v>9</v>
      </c>
      <c r="B14" s="26">
        <v>4164</v>
      </c>
      <c r="C14" s="27">
        <v>0.8</v>
      </c>
      <c r="D14" s="26">
        <v>738145</v>
      </c>
      <c r="E14" s="27">
        <v>2.2000000000000002</v>
      </c>
      <c r="F14" s="26">
        <v>2900</v>
      </c>
      <c r="G14" s="27">
        <v>1.3</v>
      </c>
      <c r="H14" s="26">
        <v>113402</v>
      </c>
      <c r="I14" s="27">
        <v>5.6</v>
      </c>
      <c r="J14" s="26">
        <v>4064</v>
      </c>
      <c r="K14" s="27">
        <v>0.8</v>
      </c>
      <c r="L14" s="26">
        <v>455971</v>
      </c>
      <c r="M14" s="27">
        <v>3.3</v>
      </c>
      <c r="N14" s="26">
        <v>5292</v>
      </c>
      <c r="O14" s="27">
        <v>0.3</v>
      </c>
      <c r="P14" s="26">
        <v>1307518</v>
      </c>
      <c r="Q14" s="27">
        <v>1.5</v>
      </c>
    </row>
    <row r="15" spans="1:17" x14ac:dyDescent="0.25">
      <c r="A15" s="6" t="s">
        <v>15</v>
      </c>
      <c r="B15" s="26">
        <v>3366</v>
      </c>
      <c r="C15" s="27">
        <v>0.5</v>
      </c>
      <c r="D15" s="26">
        <v>502084</v>
      </c>
      <c r="E15" s="27">
        <v>3</v>
      </c>
      <c r="F15" s="26">
        <v>1905</v>
      </c>
      <c r="G15" s="27">
        <v>1.5</v>
      </c>
      <c r="H15" s="26">
        <v>33739</v>
      </c>
      <c r="I15" s="27">
        <v>5.7</v>
      </c>
      <c r="J15" s="26">
        <v>2235</v>
      </c>
      <c r="K15" s="27">
        <v>1.2</v>
      </c>
      <c r="L15" s="26">
        <v>39480</v>
      </c>
      <c r="M15" s="27">
        <v>5.7</v>
      </c>
      <c r="N15" s="26">
        <v>3447</v>
      </c>
      <c r="O15" s="27">
        <v>0.4</v>
      </c>
      <c r="P15" s="26">
        <v>575304</v>
      </c>
      <c r="Q15" s="27">
        <v>3</v>
      </c>
    </row>
    <row r="16" spans="1:17" x14ac:dyDescent="0.25">
      <c r="A16" s="6" t="s">
        <v>16</v>
      </c>
      <c r="B16" s="26">
        <v>1542</v>
      </c>
      <c r="C16" s="27">
        <v>0.4</v>
      </c>
      <c r="D16" s="26">
        <v>361202</v>
      </c>
      <c r="E16" s="27">
        <v>3</v>
      </c>
      <c r="F16" s="26">
        <v>1272</v>
      </c>
      <c r="G16" s="27">
        <v>0.7</v>
      </c>
      <c r="H16" s="26">
        <v>24043</v>
      </c>
      <c r="I16" s="27">
        <v>7.6</v>
      </c>
      <c r="J16" s="26">
        <v>1279</v>
      </c>
      <c r="K16" s="27">
        <v>0.7</v>
      </c>
      <c r="L16" s="26">
        <v>76362</v>
      </c>
      <c r="M16" s="27">
        <v>5</v>
      </c>
      <c r="N16" s="26">
        <v>1578</v>
      </c>
      <c r="O16" s="27">
        <v>0.3</v>
      </c>
      <c r="P16" s="26">
        <v>461607</v>
      </c>
      <c r="Q16" s="27">
        <v>3.1</v>
      </c>
    </row>
    <row r="17" spans="1:17" x14ac:dyDescent="0.25">
      <c r="A17" s="6" t="s">
        <v>12</v>
      </c>
      <c r="B17" s="26">
        <v>4909</v>
      </c>
      <c r="C17" s="27">
        <v>0.4</v>
      </c>
      <c r="D17" s="26">
        <v>863286</v>
      </c>
      <c r="E17" s="27">
        <v>2.2000000000000002</v>
      </c>
      <c r="F17" s="26">
        <v>3176</v>
      </c>
      <c r="G17" s="27">
        <v>1.2</v>
      </c>
      <c r="H17" s="26">
        <v>57782</v>
      </c>
      <c r="I17" s="27">
        <v>4.7</v>
      </c>
      <c r="J17" s="26">
        <v>3515</v>
      </c>
      <c r="K17" s="27">
        <v>1</v>
      </c>
      <c r="L17" s="26">
        <v>115842</v>
      </c>
      <c r="M17" s="27">
        <v>4.4000000000000004</v>
      </c>
      <c r="N17" s="26">
        <v>5024</v>
      </c>
      <c r="O17" s="27">
        <v>0.4</v>
      </c>
      <c r="P17" s="26">
        <v>1036911</v>
      </c>
      <c r="Q17" s="27">
        <v>2.2999999999999998</v>
      </c>
    </row>
    <row r="18" spans="1:17" x14ac:dyDescent="0.25">
      <c r="A18" s="5" t="s">
        <v>17</v>
      </c>
      <c r="B18" s="26">
        <v>9073</v>
      </c>
      <c r="C18" s="27">
        <v>0.6</v>
      </c>
      <c r="D18" s="26">
        <v>1601431</v>
      </c>
      <c r="E18" s="27">
        <v>1.6</v>
      </c>
      <c r="F18" s="26">
        <v>6076</v>
      </c>
      <c r="G18" s="27">
        <v>1.2</v>
      </c>
      <c r="H18" s="26">
        <v>171184</v>
      </c>
      <c r="I18" s="27">
        <v>4.0999999999999996</v>
      </c>
      <c r="J18" s="26">
        <v>7578</v>
      </c>
      <c r="K18" s="27">
        <v>0.9</v>
      </c>
      <c r="L18" s="26">
        <v>571814</v>
      </c>
      <c r="M18" s="27">
        <v>3</v>
      </c>
      <c r="N18" s="26">
        <v>10317</v>
      </c>
      <c r="O18" s="27">
        <v>0.3</v>
      </c>
      <c r="P18" s="26">
        <v>2344429</v>
      </c>
      <c r="Q18" s="27">
        <v>1.3</v>
      </c>
    </row>
    <row r="19" spans="1:17" ht="28" x14ac:dyDescent="0.25">
      <c r="A19" s="9" t="s">
        <v>18</v>
      </c>
      <c r="B19" s="19" t="s">
        <v>46</v>
      </c>
      <c r="C19" s="20" t="s">
        <v>47</v>
      </c>
      <c r="D19" s="19" t="s">
        <v>48</v>
      </c>
      <c r="E19" s="20" t="s">
        <v>47</v>
      </c>
      <c r="F19" s="19" t="s">
        <v>46</v>
      </c>
      <c r="G19" s="20" t="s">
        <v>47</v>
      </c>
      <c r="H19" s="19" t="s">
        <v>48</v>
      </c>
      <c r="I19" s="20" t="s">
        <v>47</v>
      </c>
      <c r="J19" s="19" t="s">
        <v>46</v>
      </c>
      <c r="K19" s="20" t="s">
        <v>47</v>
      </c>
      <c r="L19" s="19" t="s">
        <v>48</v>
      </c>
      <c r="M19" s="20" t="s">
        <v>47</v>
      </c>
      <c r="N19" s="19" t="s">
        <v>46</v>
      </c>
      <c r="O19" s="20" t="s">
        <v>47</v>
      </c>
      <c r="P19" s="19" t="s">
        <v>48</v>
      </c>
      <c r="Q19" s="20" t="s">
        <v>47</v>
      </c>
    </row>
    <row r="20" spans="1:17" x14ac:dyDescent="0.25">
      <c r="A20" s="5" t="s">
        <v>19</v>
      </c>
      <c r="B20" s="26">
        <v>15199</v>
      </c>
      <c r="C20" s="27">
        <v>0.3</v>
      </c>
      <c r="D20" s="26">
        <v>3196093</v>
      </c>
      <c r="E20" s="27">
        <v>1.2</v>
      </c>
      <c r="F20" s="26">
        <v>8111</v>
      </c>
      <c r="G20" s="27">
        <v>1.4</v>
      </c>
      <c r="H20" s="26">
        <v>116459</v>
      </c>
      <c r="I20" s="27">
        <v>2.5</v>
      </c>
      <c r="J20" s="26">
        <v>8377</v>
      </c>
      <c r="K20" s="27">
        <v>1.3</v>
      </c>
      <c r="L20" s="26">
        <v>23675</v>
      </c>
      <c r="M20" s="27">
        <v>4.4000000000000004</v>
      </c>
      <c r="N20" s="26">
        <v>15316</v>
      </c>
      <c r="O20" s="27">
        <v>0.2</v>
      </c>
      <c r="P20" s="26">
        <v>3336227</v>
      </c>
      <c r="Q20" s="27">
        <v>1.2</v>
      </c>
    </row>
    <row r="21" spans="1:17" x14ac:dyDescent="0.25">
      <c r="A21" s="1" t="s">
        <v>20</v>
      </c>
      <c r="B21" s="26">
        <v>85074</v>
      </c>
      <c r="C21" s="27">
        <v>3.4</v>
      </c>
      <c r="D21" s="26">
        <v>7151307</v>
      </c>
      <c r="E21" s="27">
        <v>1.9</v>
      </c>
      <c r="F21" s="26">
        <v>78773</v>
      </c>
      <c r="G21" s="27">
        <v>3.6</v>
      </c>
      <c r="H21" s="26">
        <v>3371605</v>
      </c>
      <c r="I21" s="27">
        <v>2.2999999999999998</v>
      </c>
      <c r="J21" s="26">
        <v>127571</v>
      </c>
      <c r="K21" s="27">
        <v>2.2000000000000002</v>
      </c>
      <c r="L21" s="26">
        <v>8097217</v>
      </c>
      <c r="M21" s="27">
        <v>1.9</v>
      </c>
      <c r="N21" s="26">
        <v>161638</v>
      </c>
      <c r="O21" s="27">
        <v>1.5</v>
      </c>
      <c r="P21" s="26">
        <v>18620129</v>
      </c>
      <c r="Q21" s="27">
        <v>1.3</v>
      </c>
    </row>
    <row r="22" spans="1:17" ht="28" x14ac:dyDescent="0.25">
      <c r="A22" s="10" t="s">
        <v>21</v>
      </c>
      <c r="B22" s="19" t="s">
        <v>46</v>
      </c>
      <c r="C22" s="20" t="s">
        <v>47</v>
      </c>
      <c r="D22" s="19" t="s">
        <v>48</v>
      </c>
      <c r="E22" s="20" t="s">
        <v>47</v>
      </c>
      <c r="F22" s="19" t="s">
        <v>46</v>
      </c>
      <c r="G22" s="20" t="s">
        <v>47</v>
      </c>
      <c r="H22" s="19" t="s">
        <v>48</v>
      </c>
      <c r="I22" s="20" t="s">
        <v>47</v>
      </c>
      <c r="J22" s="19" t="s">
        <v>46</v>
      </c>
      <c r="K22" s="20" t="s">
        <v>47</v>
      </c>
      <c r="L22" s="19" t="s">
        <v>48</v>
      </c>
      <c r="M22" s="20" t="s">
        <v>47</v>
      </c>
      <c r="N22" s="19" t="s">
        <v>46</v>
      </c>
      <c r="O22" s="20" t="s">
        <v>47</v>
      </c>
      <c r="P22" s="19" t="s">
        <v>48</v>
      </c>
      <c r="Q22" s="20" t="s">
        <v>47</v>
      </c>
    </row>
    <row r="23" spans="1:17" x14ac:dyDescent="0.25">
      <c r="A23" s="5" t="s">
        <v>22</v>
      </c>
      <c r="B23" s="28">
        <v>28</v>
      </c>
      <c r="C23" s="27">
        <v>17.899999999999999</v>
      </c>
      <c r="D23" s="28" t="s">
        <v>51</v>
      </c>
      <c r="E23" s="27"/>
      <c r="F23" s="26">
        <v>1807</v>
      </c>
      <c r="G23" s="27">
        <v>1.6</v>
      </c>
      <c r="H23" s="26">
        <v>100929</v>
      </c>
      <c r="I23" s="27">
        <v>6</v>
      </c>
      <c r="J23" s="26">
        <v>2694</v>
      </c>
      <c r="K23" s="27">
        <v>1</v>
      </c>
      <c r="L23" s="26">
        <v>435973</v>
      </c>
      <c r="M23" s="27">
        <v>3.7</v>
      </c>
      <c r="N23" s="26">
        <v>2930</v>
      </c>
      <c r="O23" s="27">
        <v>0.9</v>
      </c>
      <c r="P23" s="26">
        <v>537375</v>
      </c>
      <c r="Q23" s="27">
        <v>3.6</v>
      </c>
    </row>
    <row r="24" spans="1:17" x14ac:dyDescent="0.25">
      <c r="A24" s="6" t="s">
        <v>23</v>
      </c>
      <c r="B24" s="26">
        <v>2251</v>
      </c>
      <c r="C24" s="27">
        <v>1.3</v>
      </c>
      <c r="D24" s="26">
        <v>5048</v>
      </c>
      <c r="E24" s="27">
        <v>6.2</v>
      </c>
      <c r="F24" s="26">
        <v>4301</v>
      </c>
      <c r="G24" s="27">
        <v>0.6</v>
      </c>
      <c r="H24" s="26">
        <v>403582</v>
      </c>
      <c r="I24" s="27">
        <v>1.5</v>
      </c>
      <c r="J24" s="26">
        <v>4891</v>
      </c>
      <c r="K24" s="27">
        <v>0.4</v>
      </c>
      <c r="L24" s="26">
        <v>952588</v>
      </c>
      <c r="M24" s="27">
        <v>1.4</v>
      </c>
      <c r="N24" s="26">
        <v>5100</v>
      </c>
      <c r="O24" s="27">
        <v>0.4</v>
      </c>
      <c r="P24" s="26">
        <v>1361217</v>
      </c>
      <c r="Q24" s="27">
        <v>1.2</v>
      </c>
    </row>
    <row r="25" spans="1:17" x14ac:dyDescent="0.25">
      <c r="A25" s="6" t="s">
        <v>24</v>
      </c>
      <c r="B25" s="26">
        <v>1635</v>
      </c>
      <c r="C25" s="27">
        <v>0.4</v>
      </c>
      <c r="D25" s="26">
        <v>38742</v>
      </c>
      <c r="E25" s="27">
        <v>1.8</v>
      </c>
      <c r="F25" s="26">
        <v>1657</v>
      </c>
      <c r="G25" s="27">
        <v>0.4</v>
      </c>
      <c r="H25" s="26">
        <v>268493</v>
      </c>
      <c r="I25" s="27">
        <v>1.6</v>
      </c>
      <c r="J25" s="26">
        <v>1651</v>
      </c>
      <c r="K25" s="27">
        <v>0.4</v>
      </c>
      <c r="L25" s="26">
        <v>202488</v>
      </c>
      <c r="M25" s="27">
        <v>1.7</v>
      </c>
      <c r="N25" s="26">
        <v>1715</v>
      </c>
      <c r="O25" s="27">
        <v>0.3</v>
      </c>
      <c r="P25" s="26">
        <v>509724</v>
      </c>
      <c r="Q25" s="27">
        <v>1.5</v>
      </c>
    </row>
    <row r="26" spans="1:17" x14ac:dyDescent="0.25">
      <c r="A26" s="5" t="s">
        <v>25</v>
      </c>
      <c r="B26" s="26">
        <v>3885</v>
      </c>
      <c r="C26" s="27">
        <v>1</v>
      </c>
      <c r="D26" s="26">
        <v>43790</v>
      </c>
      <c r="E26" s="27">
        <v>2.7</v>
      </c>
      <c r="F26" s="26">
        <v>5958</v>
      </c>
      <c r="G26" s="27">
        <v>0.5</v>
      </c>
      <c r="H26" s="26">
        <v>672075</v>
      </c>
      <c r="I26" s="27">
        <v>1.2</v>
      </c>
      <c r="J26" s="26">
        <v>6542</v>
      </c>
      <c r="K26" s="27">
        <v>0.4</v>
      </c>
      <c r="L26" s="26">
        <v>1155077</v>
      </c>
      <c r="M26" s="27">
        <v>1.1000000000000001</v>
      </c>
      <c r="N26" s="26">
        <v>6816</v>
      </c>
      <c r="O26" s="27">
        <v>0.4</v>
      </c>
      <c r="P26" s="26">
        <v>1870941</v>
      </c>
      <c r="Q26" s="27">
        <v>0.9</v>
      </c>
    </row>
    <row r="27" spans="1:17" x14ac:dyDescent="0.25">
      <c r="A27" s="1" t="s">
        <v>26</v>
      </c>
      <c r="B27" s="26">
        <v>3913</v>
      </c>
      <c r="C27" s="27">
        <v>1.6</v>
      </c>
      <c r="D27" s="26">
        <v>44263</v>
      </c>
      <c r="E27" s="27">
        <v>3.3</v>
      </c>
      <c r="F27" s="26">
        <v>7766</v>
      </c>
      <c r="G27" s="27">
        <v>0.8</v>
      </c>
      <c r="H27" s="26">
        <v>773004</v>
      </c>
      <c r="I27" s="27">
        <v>1.4</v>
      </c>
      <c r="J27" s="26">
        <v>9236</v>
      </c>
      <c r="K27" s="27">
        <v>0.6</v>
      </c>
      <c r="L27" s="26">
        <v>1591049</v>
      </c>
      <c r="M27" s="27">
        <v>1.2</v>
      </c>
      <c r="N27" s="26">
        <v>9745</v>
      </c>
      <c r="O27" s="27">
        <v>0.5</v>
      </c>
      <c r="P27" s="26">
        <v>2408316</v>
      </c>
      <c r="Q27" s="27">
        <v>1</v>
      </c>
    </row>
    <row r="28" spans="1:17" ht="28" x14ac:dyDescent="0.25">
      <c r="A28" s="10" t="s">
        <v>27</v>
      </c>
      <c r="B28" s="19" t="s">
        <v>46</v>
      </c>
      <c r="C28" s="20" t="s">
        <v>47</v>
      </c>
      <c r="D28" s="19" t="s">
        <v>48</v>
      </c>
      <c r="E28" s="20" t="s">
        <v>47</v>
      </c>
      <c r="F28" s="19" t="s">
        <v>46</v>
      </c>
      <c r="G28" s="20" t="s">
        <v>47</v>
      </c>
      <c r="H28" s="19" t="s">
        <v>48</v>
      </c>
      <c r="I28" s="20" t="s">
        <v>47</v>
      </c>
      <c r="J28" s="19" t="s">
        <v>46</v>
      </c>
      <c r="K28" s="20" t="s">
        <v>47</v>
      </c>
      <c r="L28" s="19" t="s">
        <v>48</v>
      </c>
      <c r="M28" s="20" t="s">
        <v>47</v>
      </c>
      <c r="N28" s="19" t="s">
        <v>46</v>
      </c>
      <c r="O28" s="20" t="s">
        <v>47</v>
      </c>
      <c r="P28" s="19" t="s">
        <v>48</v>
      </c>
      <c r="Q28" s="20" t="s">
        <v>47</v>
      </c>
    </row>
    <row r="29" spans="1:17" x14ac:dyDescent="0.25">
      <c r="A29" s="5" t="s">
        <v>28</v>
      </c>
      <c r="B29" s="28" t="s">
        <v>51</v>
      </c>
      <c r="C29" s="27"/>
      <c r="D29" s="28" t="s">
        <v>51</v>
      </c>
      <c r="E29" s="27"/>
      <c r="F29" s="26">
        <v>381</v>
      </c>
      <c r="G29" s="27">
        <v>5.6</v>
      </c>
      <c r="H29" s="26">
        <v>3480</v>
      </c>
      <c r="I29" s="27">
        <v>27.9</v>
      </c>
      <c r="J29" s="26">
        <v>1409</v>
      </c>
      <c r="K29" s="27">
        <v>2.2000000000000002</v>
      </c>
      <c r="L29" s="26">
        <v>45206</v>
      </c>
      <c r="M29" s="27">
        <v>9.6</v>
      </c>
      <c r="N29" s="26">
        <v>1519</v>
      </c>
      <c r="O29" s="27">
        <v>2</v>
      </c>
      <c r="P29" s="26">
        <v>50352</v>
      </c>
      <c r="Q29" s="27">
        <v>8.6999999999999993</v>
      </c>
    </row>
    <row r="30" spans="1:17" x14ac:dyDescent="0.25">
      <c r="A30" s="5" t="s">
        <v>29</v>
      </c>
      <c r="B30" s="26">
        <v>0</v>
      </c>
      <c r="C30" s="27"/>
      <c r="D30" s="26">
        <v>0</v>
      </c>
      <c r="E30" s="27"/>
      <c r="F30" s="26">
        <v>1094</v>
      </c>
      <c r="G30" s="27">
        <v>4.7</v>
      </c>
      <c r="H30" s="26">
        <v>11005</v>
      </c>
      <c r="I30" s="27">
        <v>16.100000000000001</v>
      </c>
      <c r="J30" s="26">
        <v>1648</v>
      </c>
      <c r="K30" s="27">
        <v>3.5</v>
      </c>
      <c r="L30" s="26">
        <v>24530</v>
      </c>
      <c r="M30" s="27">
        <v>15.3</v>
      </c>
      <c r="N30" s="26">
        <v>2299</v>
      </c>
      <c r="O30" s="27">
        <v>2.6</v>
      </c>
      <c r="P30" s="26">
        <v>35535</v>
      </c>
      <c r="Q30" s="27">
        <v>10.8</v>
      </c>
    </row>
    <row r="31" spans="1:17" x14ac:dyDescent="0.25">
      <c r="A31" s="1" t="s">
        <v>30</v>
      </c>
      <c r="B31" s="28" t="s">
        <v>51</v>
      </c>
      <c r="C31" s="27"/>
      <c r="D31" s="28" t="s">
        <v>51</v>
      </c>
      <c r="E31" s="27"/>
      <c r="F31" s="26">
        <v>1475</v>
      </c>
      <c r="G31" s="27">
        <v>4.9000000000000004</v>
      </c>
      <c r="H31" s="26">
        <v>14485</v>
      </c>
      <c r="I31" s="27">
        <v>13.7</v>
      </c>
      <c r="J31" s="26">
        <v>3056</v>
      </c>
      <c r="K31" s="27">
        <v>2.9</v>
      </c>
      <c r="L31" s="26">
        <v>69736</v>
      </c>
      <c r="M31" s="27">
        <v>9</v>
      </c>
      <c r="N31" s="26">
        <v>3818</v>
      </c>
      <c r="O31" s="27">
        <v>2.2999999999999998</v>
      </c>
      <c r="P31" s="26">
        <v>85888</v>
      </c>
      <c r="Q31" s="27">
        <v>7.4</v>
      </c>
    </row>
    <row r="32" spans="1:17" ht="28" x14ac:dyDescent="0.25">
      <c r="A32" s="10" t="s">
        <v>31</v>
      </c>
      <c r="B32" s="19" t="s">
        <v>46</v>
      </c>
      <c r="C32" s="20" t="s">
        <v>47</v>
      </c>
      <c r="D32" s="19" t="s">
        <v>48</v>
      </c>
      <c r="E32" s="20" t="s">
        <v>47</v>
      </c>
      <c r="F32" s="19" t="s">
        <v>46</v>
      </c>
      <c r="G32" s="20" t="s">
        <v>47</v>
      </c>
      <c r="H32" s="19" t="s">
        <v>48</v>
      </c>
      <c r="I32" s="20" t="s">
        <v>47</v>
      </c>
      <c r="J32" s="19" t="s">
        <v>46</v>
      </c>
      <c r="K32" s="20" t="s">
        <v>47</v>
      </c>
      <c r="L32" s="19" t="s">
        <v>48</v>
      </c>
      <c r="M32" s="20" t="s">
        <v>47</v>
      </c>
      <c r="N32" s="19" t="s">
        <v>46</v>
      </c>
      <c r="O32" s="20" t="s">
        <v>47</v>
      </c>
      <c r="P32" s="19" t="s">
        <v>48</v>
      </c>
      <c r="Q32" s="20" t="s">
        <v>47</v>
      </c>
    </row>
    <row r="33" spans="1:17" x14ac:dyDescent="0.25">
      <c r="A33" s="5" t="s">
        <v>32</v>
      </c>
      <c r="B33" s="26">
        <v>3370</v>
      </c>
      <c r="C33" s="27">
        <v>9.9</v>
      </c>
      <c r="D33" s="26">
        <v>50436</v>
      </c>
      <c r="E33" s="27">
        <v>14.1</v>
      </c>
      <c r="F33" s="26">
        <v>5674</v>
      </c>
      <c r="G33" s="27">
        <v>7.3</v>
      </c>
      <c r="H33" s="26">
        <v>127907</v>
      </c>
      <c r="I33" s="27">
        <v>8.5</v>
      </c>
      <c r="J33" s="26">
        <v>18150</v>
      </c>
      <c r="K33" s="27">
        <v>3</v>
      </c>
      <c r="L33" s="26">
        <v>765652</v>
      </c>
      <c r="M33" s="27">
        <v>3.2</v>
      </c>
      <c r="N33" s="26">
        <v>20567</v>
      </c>
      <c r="O33" s="27">
        <v>2.6</v>
      </c>
      <c r="P33" s="26">
        <v>943995</v>
      </c>
      <c r="Q33" s="27">
        <v>2.8</v>
      </c>
    </row>
    <row r="34" spans="1:17" x14ac:dyDescent="0.25">
      <c r="A34" s="5" t="s">
        <v>33</v>
      </c>
      <c r="B34" s="26">
        <v>210</v>
      </c>
      <c r="C34" s="27">
        <v>7.6</v>
      </c>
      <c r="D34" s="28" t="s">
        <v>51</v>
      </c>
      <c r="E34" s="27"/>
      <c r="F34" s="26">
        <v>483</v>
      </c>
      <c r="G34" s="27">
        <v>4.7</v>
      </c>
      <c r="H34" s="26">
        <v>7202</v>
      </c>
      <c r="I34" s="27">
        <v>19.899999999999999</v>
      </c>
      <c r="J34" s="26">
        <v>1580</v>
      </c>
      <c r="K34" s="27">
        <v>2</v>
      </c>
      <c r="L34" s="26">
        <v>56237</v>
      </c>
      <c r="M34" s="27">
        <v>8.1</v>
      </c>
      <c r="N34" s="26">
        <v>1828</v>
      </c>
      <c r="O34" s="27">
        <v>1.7</v>
      </c>
      <c r="P34" s="26">
        <v>64221</v>
      </c>
      <c r="Q34" s="27">
        <v>7.5</v>
      </c>
    </row>
    <row r="35" spans="1:17" x14ac:dyDescent="0.25">
      <c r="A35" s="5" t="s">
        <v>34</v>
      </c>
      <c r="B35" s="28" t="s">
        <v>51</v>
      </c>
      <c r="C35" s="27"/>
      <c r="D35" s="28" t="s">
        <v>51</v>
      </c>
      <c r="E35" s="27"/>
      <c r="F35" s="26">
        <v>838</v>
      </c>
      <c r="G35" s="27">
        <v>6.9</v>
      </c>
      <c r="H35" s="26">
        <v>20401</v>
      </c>
      <c r="I35" s="27">
        <v>21.9</v>
      </c>
      <c r="J35" s="26">
        <v>2906</v>
      </c>
      <c r="K35" s="27">
        <v>2.9</v>
      </c>
      <c r="L35" s="26">
        <v>97045</v>
      </c>
      <c r="M35" s="27">
        <v>9.6</v>
      </c>
      <c r="N35" s="26">
        <v>3295</v>
      </c>
      <c r="O35" s="27">
        <v>2.6</v>
      </c>
      <c r="P35" s="26">
        <v>117529</v>
      </c>
      <c r="Q35" s="27">
        <v>8.3000000000000007</v>
      </c>
    </row>
    <row r="36" spans="1:17" x14ac:dyDescent="0.25">
      <c r="A36" s="5" t="s">
        <v>35</v>
      </c>
      <c r="B36" s="26">
        <v>227</v>
      </c>
      <c r="C36" s="27">
        <v>2.5</v>
      </c>
      <c r="D36" s="26">
        <v>5691</v>
      </c>
      <c r="E36" s="27">
        <v>18.899999999999999</v>
      </c>
      <c r="F36" s="26">
        <v>280</v>
      </c>
      <c r="G36" s="27">
        <v>2.2000000000000002</v>
      </c>
      <c r="H36" s="26">
        <v>11707</v>
      </c>
      <c r="I36" s="27">
        <v>18.2</v>
      </c>
      <c r="J36" s="26">
        <v>569</v>
      </c>
      <c r="K36" s="27">
        <v>1.2</v>
      </c>
      <c r="L36" s="26">
        <v>32779</v>
      </c>
      <c r="M36" s="27">
        <v>10.1</v>
      </c>
      <c r="N36" s="26">
        <v>677</v>
      </c>
      <c r="O36" s="27">
        <v>1</v>
      </c>
      <c r="P36" s="26">
        <v>50177</v>
      </c>
      <c r="Q36" s="27">
        <v>8.6999999999999993</v>
      </c>
    </row>
    <row r="37" spans="1:17" s="7" customFormat="1" x14ac:dyDescent="0.25">
      <c r="A37" s="1" t="s">
        <v>36</v>
      </c>
      <c r="B37" s="26">
        <v>3821</v>
      </c>
      <c r="C37" s="27">
        <v>9.5</v>
      </c>
      <c r="D37" s="26">
        <v>56992</v>
      </c>
      <c r="E37" s="27">
        <v>12.2</v>
      </c>
      <c r="F37" s="26">
        <v>7275</v>
      </c>
      <c r="G37" s="27">
        <v>6.6</v>
      </c>
      <c r="H37" s="26">
        <v>167218</v>
      </c>
      <c r="I37" s="27">
        <v>7.2</v>
      </c>
      <c r="J37" s="26">
        <v>23205</v>
      </c>
      <c r="K37" s="27">
        <v>2.7</v>
      </c>
      <c r="L37" s="26">
        <v>951713</v>
      </c>
      <c r="M37" s="27">
        <v>2.7</v>
      </c>
      <c r="N37" s="26">
        <v>26367</v>
      </c>
      <c r="O37" s="27">
        <v>2.4</v>
      </c>
      <c r="P37" s="26">
        <v>1175922</v>
      </c>
      <c r="Q37" s="27">
        <v>2.4</v>
      </c>
    </row>
    <row r="38" spans="1:17" s="7" customFormat="1" x14ac:dyDescent="0.25">
      <c r="A38" s="1" t="s">
        <v>37</v>
      </c>
      <c r="B38" s="28" t="s">
        <v>51</v>
      </c>
      <c r="C38" s="27"/>
      <c r="D38" s="28" t="s">
        <v>51</v>
      </c>
      <c r="E38" s="27"/>
      <c r="F38" s="26">
        <v>988</v>
      </c>
      <c r="G38" s="27">
        <v>1.5</v>
      </c>
      <c r="H38" s="26">
        <v>41291</v>
      </c>
      <c r="I38" s="27">
        <v>6.5</v>
      </c>
      <c r="J38" s="26">
        <v>2195</v>
      </c>
      <c r="K38" s="27">
        <v>0.6</v>
      </c>
      <c r="L38" s="26">
        <v>160244</v>
      </c>
      <c r="M38" s="27">
        <v>4</v>
      </c>
      <c r="N38" s="26">
        <v>2570</v>
      </c>
      <c r="O38" s="27">
        <v>0.4</v>
      </c>
      <c r="P38" s="26">
        <v>201615</v>
      </c>
      <c r="Q38" s="27">
        <v>3.8</v>
      </c>
    </row>
    <row r="39" spans="1:17" s="7" customFormat="1" x14ac:dyDescent="0.25">
      <c r="A39" s="1" t="s">
        <v>38</v>
      </c>
      <c r="B39" s="26">
        <v>92834</v>
      </c>
      <c r="C39" s="27">
        <v>3.6</v>
      </c>
      <c r="D39" s="26">
        <v>7254308</v>
      </c>
      <c r="E39" s="27">
        <v>1.8</v>
      </c>
      <c r="F39" s="26">
        <v>96277</v>
      </c>
      <c r="G39" s="27">
        <v>3.5</v>
      </c>
      <c r="H39" s="26">
        <v>4367604</v>
      </c>
      <c r="I39" s="27">
        <v>1.8</v>
      </c>
      <c r="J39" s="26">
        <v>165263</v>
      </c>
      <c r="K39" s="27">
        <v>2.1</v>
      </c>
      <c r="L39" s="26">
        <v>10869959</v>
      </c>
      <c r="M39" s="27">
        <v>1.4</v>
      </c>
      <c r="N39" s="26">
        <v>204138</v>
      </c>
      <c r="O39" s="27">
        <v>1.5</v>
      </c>
      <c r="P39" s="26">
        <v>22491871</v>
      </c>
      <c r="Q39" s="27">
        <v>1.1000000000000001</v>
      </c>
    </row>
    <row r="40" spans="1:17" x14ac:dyDescent="0.25">
      <c r="A40" s="7" t="s">
        <v>39</v>
      </c>
      <c r="B40" s="2"/>
      <c r="C40" s="3"/>
      <c r="D40" s="3"/>
      <c r="E40" s="2"/>
      <c r="G40" s="1"/>
      <c r="I40" s="1"/>
      <c r="J40" s="1"/>
      <c r="K40" s="1"/>
      <c r="M40" s="1"/>
      <c r="O40" s="1"/>
      <c r="P40" s="1"/>
    </row>
    <row r="41" spans="1:17" x14ac:dyDescent="0.25">
      <c r="A41" s="11" t="s">
        <v>40</v>
      </c>
      <c r="B41" s="2"/>
      <c r="C41" s="3"/>
      <c r="D41" s="3"/>
      <c r="E41" s="2"/>
      <c r="G41" s="1"/>
      <c r="I41" s="1"/>
      <c r="J41" s="1"/>
      <c r="K41" s="1"/>
      <c r="M41" s="1"/>
      <c r="O41" s="1"/>
      <c r="P41" s="1"/>
    </row>
    <row r="42" spans="1:17" x14ac:dyDescent="0.25">
      <c r="A42" s="12" t="s">
        <v>41</v>
      </c>
      <c r="B42" s="2"/>
      <c r="C42" s="3"/>
      <c r="D42" s="2"/>
      <c r="E42" s="3"/>
      <c r="F42" s="2"/>
      <c r="G42" s="3"/>
      <c r="H42" s="2"/>
      <c r="I42" s="3"/>
      <c r="J42" s="2"/>
      <c r="K42" s="3"/>
      <c r="L42" s="2"/>
      <c r="M42" s="3"/>
      <c r="N42" s="2"/>
      <c r="P42" s="2"/>
      <c r="Q42" s="3"/>
    </row>
    <row r="43" spans="1:17" x14ac:dyDescent="0.25">
      <c r="A43" s="12" t="s">
        <v>42</v>
      </c>
      <c r="B43" s="24"/>
      <c r="C43" s="25"/>
      <c r="D43" s="3"/>
      <c r="E43" s="24"/>
      <c r="F43" s="25"/>
      <c r="G43" s="25"/>
      <c r="H43" s="24"/>
      <c r="I43" s="24"/>
      <c r="J43" s="25"/>
      <c r="K43" s="25"/>
      <c r="M43" s="1"/>
      <c r="O43" s="1"/>
      <c r="P43" s="1"/>
    </row>
    <row r="44" spans="1:17" x14ac:dyDescent="0.25">
      <c r="A44" s="12" t="s">
        <v>43</v>
      </c>
      <c r="B44" s="2"/>
      <c r="C44" s="3"/>
      <c r="E44" s="2"/>
      <c r="G44" s="1"/>
      <c r="I44" s="1"/>
      <c r="J44" s="1"/>
      <c r="K44" s="1"/>
      <c r="M44" s="1"/>
      <c r="O44" s="1"/>
      <c r="P44" s="1"/>
    </row>
    <row r="45" spans="1:17" x14ac:dyDescent="0.25">
      <c r="A45" s="12" t="s">
        <v>44</v>
      </c>
      <c r="B45" s="2"/>
      <c r="C45" s="3"/>
      <c r="E45" s="2"/>
      <c r="G45" s="1"/>
      <c r="I45" s="1"/>
      <c r="J45" s="1"/>
      <c r="K45" s="1"/>
      <c r="M45" s="1"/>
      <c r="O45" s="1"/>
      <c r="P45" s="1"/>
    </row>
    <row r="46" spans="1:17" x14ac:dyDescent="0.25">
      <c r="A46" s="1" t="s">
        <v>49</v>
      </c>
      <c r="B46" s="2"/>
      <c r="C46" s="2"/>
      <c r="D46" s="2"/>
      <c r="E46" s="3"/>
      <c r="F46" s="3"/>
      <c r="H46" s="2"/>
    </row>
    <row r="47" spans="1:17" x14ac:dyDescent="0.25">
      <c r="F47" s="4"/>
      <c r="G47" s="24"/>
    </row>
    <row r="48" spans="1:17" x14ac:dyDescent="0.25">
      <c r="G48" s="1"/>
      <c r="I48" s="1"/>
      <c r="J48" s="1"/>
      <c r="K48" s="1"/>
      <c r="M48" s="1"/>
      <c r="O48" s="1"/>
      <c r="P48" s="1"/>
    </row>
  </sheetData>
  <sheetProtection algorithmName="SHA-512" hashValue="0EO5M3zS3uSMdlfqfTDr7BdqegKdLakrAK8qCIjnBZWI/Uwa+uZN6UHvu7FrUA0L+hIovmwqZCd7Lrr7Zw+1nA==" saltValue="m7QpoB1BduA57xNiAPd6lQ==" spinCount="100000" sheet="1" objects="1" scenarios="1"/>
  <conditionalFormatting sqref="C14:C18 E14:E18 G14:G18 I14:I18 K14:K18 M14:M18 O14:O18 Q14:Q18">
    <cfRule type="expression" dxfId="15" priority="15">
      <formula>AND(NOT(ISTEXT(C14)),C14&lt;&gt;"",C14&gt;=75)</formula>
    </cfRule>
  </conditionalFormatting>
  <conditionalFormatting sqref="C6:C12 E6:E12 G6:G12 I6:I12 K6:K12 M6:M12 O6:O12 Q6:Q12">
    <cfRule type="expression" dxfId="14" priority="16">
      <formula>AND(NOT(ISTEXT(C6)),C6&lt;&gt;"",C6&gt;=75)</formula>
    </cfRule>
  </conditionalFormatting>
  <conditionalFormatting sqref="Q20:Q21 O20:O21 M20:M21 K20:K21 I20:I21 G20:G21 E20:E21 C20:C21">
    <cfRule type="expression" dxfId="13" priority="14">
      <formula>AND(NOT(ISTEXT(C20)),C20&lt;&gt;"",C20&gt;=75)</formula>
    </cfRule>
  </conditionalFormatting>
  <conditionalFormatting sqref="C23:C27 E23:E27 G23:G27 I23:I27 K23:K27 M23:M27 O23:O27 Q23:Q27">
    <cfRule type="expression" dxfId="12" priority="13">
      <formula>AND(NOT(ISTEXT(C23)),C23&lt;&gt;"",C23&gt;=75)</formula>
    </cfRule>
  </conditionalFormatting>
  <conditionalFormatting sqref="E31">
    <cfRule type="expression" dxfId="11" priority="8">
      <formula>AND(NOT(ISTEXT(E31)),E31&lt;&gt;"",E31&gt;=75)</formula>
    </cfRule>
  </conditionalFormatting>
  <conditionalFormatting sqref="C30 E30 Q29:Q31 O29:O31 M29:M31 K29:K31 I29:I31 G29:G31">
    <cfRule type="expression" dxfId="10" priority="12">
      <formula>AND(NOT(ISTEXT(C29)),C29&lt;&gt;"",C29&gt;=75)</formula>
    </cfRule>
  </conditionalFormatting>
  <conditionalFormatting sqref="C29">
    <cfRule type="expression" dxfId="9" priority="11">
      <formula>AND(NOT(ISTEXT(C29)),C29&lt;&gt;"",C29&gt;=75)</formula>
    </cfRule>
  </conditionalFormatting>
  <conditionalFormatting sqref="C31">
    <cfRule type="expression" dxfId="8" priority="10">
      <formula>AND(NOT(ISTEXT(C31)),C31&lt;&gt;"",C31&gt;=75)</formula>
    </cfRule>
  </conditionalFormatting>
  <conditionalFormatting sqref="E29">
    <cfRule type="expression" dxfId="7" priority="9">
      <formula>AND(NOT(ISTEXT(E29)),E29&lt;&gt;"",E29&gt;=75)</formula>
    </cfRule>
  </conditionalFormatting>
  <conditionalFormatting sqref="E38">
    <cfRule type="expression" dxfId="6" priority="2">
      <formula>AND(NOT(ISTEXT(E38)),E38&lt;&gt;"",E38&gt;=75)</formula>
    </cfRule>
  </conditionalFormatting>
  <conditionalFormatting sqref="E33 C33:C34 C36:C37 E36:E37 G33:G38 I33:I38 K33:K38 M33:M38 O33:O38 Q33:Q38">
    <cfRule type="expression" dxfId="5" priority="7">
      <formula>AND(NOT(ISTEXT(C33)),C33&lt;&gt;"",C33&gt;=75)</formula>
    </cfRule>
  </conditionalFormatting>
  <conditionalFormatting sqref="C35">
    <cfRule type="expression" dxfId="4" priority="6">
      <formula>AND(NOT(ISTEXT(C35)),C35&lt;&gt;"",C35&gt;=75)</formula>
    </cfRule>
  </conditionalFormatting>
  <conditionalFormatting sqref="E35">
    <cfRule type="expression" dxfId="3" priority="5">
      <formula>AND(NOT(ISTEXT(E35)),E35&lt;&gt;"",E35&gt;=75)</formula>
    </cfRule>
  </conditionalFormatting>
  <conditionalFormatting sqref="E34">
    <cfRule type="expression" dxfId="2" priority="4">
      <formula>AND(NOT(ISTEXT(E34)),E34&lt;&gt;"",E34&gt;=75)</formula>
    </cfRule>
  </conditionalFormatting>
  <conditionalFormatting sqref="C38">
    <cfRule type="expression" dxfId="1" priority="3">
      <formula>AND(NOT(ISTEXT(C38)),C38&lt;&gt;"",C38&gt;=75)</formula>
    </cfRule>
  </conditionalFormatting>
  <conditionalFormatting sqref="C39 E39 Q39 O39 M39 K39 I39 G39">
    <cfRule type="expression" dxfId="0" priority="1">
      <formula>AND(NOT(ISTEXT(C39)),C39&lt;&gt;"",C39&gt;=75)</formula>
    </cfRule>
  </conditionalFormatting>
  <pageMargins left="0.7" right="0.7" top="0.75" bottom="0.75" header="0.3" footer="0.3"/>
  <pageSetup orientation="landscape" r:id="rId1"/>
  <headerFooter>
    <oddFooter>&amp;CPage 4 -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4.1</vt:lpstr>
      <vt:lpstr>Chart12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Cevilla, Becca</dc:creator>
  <cp:lastModifiedBy>Krecker, Peg</cp:lastModifiedBy>
  <cp:lastPrinted>2019-10-11T18:58:54Z</cp:lastPrinted>
  <dcterms:created xsi:type="dcterms:W3CDTF">2019-10-11T18:26:20Z</dcterms:created>
  <dcterms:modified xsi:type="dcterms:W3CDTF">2021-12-03T20:24:52Z</dcterms:modified>
</cp:coreProperties>
</file>